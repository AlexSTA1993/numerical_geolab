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sta_dev\numerical_geolab_materials\UMATERIALS\COSSERAT3D-THM\"/>
    </mc:Choice>
  </mc:AlternateContent>
  <bookViews>
    <workbookView xWindow="480" yWindow="588" windowWidth="5376" windowHeight="5712" tabRatio="384" firstSheet="1" activeTab="2"/>
  </bookViews>
  <sheets>
    <sheet name="Compile Subroutines for ABAQUS" sheetId="1" r:id="rId1"/>
    <sheet name="Compile plasticity" sheetId="3" r:id="rId2"/>
    <sheet name="State Variables" sheetId="4" r:id="rId3"/>
    <sheet name="Material Properties" sheetId="2" state="hidden" r:id="rId4"/>
  </sheets>
  <functionGroups builtInGroupCount="18"/>
  <definedNames>
    <definedName name="FileNames">FILES(CONCATENATE('Compile plasticity'!$C$1,"*_material_*"))</definedName>
  </definedNames>
  <calcPr calcId="152511"/>
</workbook>
</file>

<file path=xl/calcChain.xml><?xml version="1.0" encoding="utf-8"?>
<calcChain xmlns="http://schemas.openxmlformats.org/spreadsheetml/2006/main">
  <c r="E6" i="4" l="1"/>
  <c r="E8" i="4" s="1"/>
  <c r="C1" i="3"/>
  <c r="C2" i="3"/>
  <c r="L36" i="2" l="1"/>
  <c r="L35" i="2"/>
  <c r="L23" i="2"/>
  <c r="L24" i="2" s="1"/>
  <c r="L34" i="2"/>
  <c r="L33" i="2"/>
  <c r="L32" i="2"/>
  <c r="L31" i="2"/>
  <c r="J27" i="2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26" i="2"/>
  <c r="C4" i="3"/>
  <c r="M7" i="2" l="1"/>
  <c r="M6" i="2"/>
  <c r="M5" i="2"/>
  <c r="M4" i="2"/>
  <c r="M3" i="2"/>
  <c r="L9" i="2"/>
  <c r="M9" i="2" s="1"/>
  <c r="L8" i="2"/>
  <c r="M8" i="2" s="1"/>
  <c r="V6" i="2" l="1"/>
  <c r="F8" i="2" l="1"/>
  <c r="F7" i="2"/>
  <c r="F6" i="2"/>
  <c r="F3" i="2" l="1"/>
  <c r="F4" i="2"/>
  <c r="F5" i="2" l="1"/>
  <c r="E19" i="1"/>
  <c r="E18" i="1"/>
  <c r="E17" i="1"/>
  <c r="E16" i="1"/>
  <c r="E15" i="1"/>
  <c r="E14" i="1"/>
  <c r="E13" i="1"/>
  <c r="E6" i="1"/>
  <c r="E7" i="1"/>
  <c r="E8" i="1"/>
  <c r="E9" i="1"/>
  <c r="E10" i="1"/>
  <c r="E11" i="1"/>
  <c r="E12" i="1"/>
  <c r="E1" i="1" l="1"/>
</calcChain>
</file>

<file path=xl/sharedStrings.xml><?xml version="1.0" encoding="utf-8"?>
<sst xmlns="http://schemas.openxmlformats.org/spreadsheetml/2006/main" count="462" uniqueCount="303">
  <si>
    <t>List of files to include</t>
  </si>
  <si>
    <t>Output filename</t>
  </si>
  <si>
    <t>Date</t>
  </si>
  <si>
    <t xml:space="preserve">     Click to compile…</t>
  </si>
  <si>
    <t xml:space="preserve">     Click to add a new file…</t>
  </si>
  <si>
    <t>D:\IST\Documents\IST_Abaqus\ABAQUS_COMPILATION\</t>
  </si>
  <si>
    <t>UEL505.for</t>
  </si>
  <si>
    <t>Integer</t>
  </si>
  <si>
    <t>Debugging</t>
  </si>
  <si>
    <t>1 for yes</t>
  </si>
  <si>
    <t>Test1</t>
  </si>
  <si>
    <t>Test2</t>
  </si>
  <si>
    <t>uelvar1.for</t>
  </si>
  <si>
    <t>GAS '15</t>
  </si>
  <si>
    <t>no els</t>
  </si>
  <si>
    <t>K</t>
  </si>
  <si>
    <t>G</t>
  </si>
  <si>
    <t>Test3</t>
  </si>
  <si>
    <t>Test4</t>
  </si>
  <si>
    <t>Test5</t>
  </si>
  <si>
    <t>Test6</t>
  </si>
  <si>
    <t>Double</t>
  </si>
  <si>
    <t>Number of user output variables:</t>
  </si>
  <si>
    <t>Number of stress components:</t>
  </si>
  <si>
    <t>Number of failure surfaces:</t>
  </si>
  <si>
    <t>Number of hardening parameters:</t>
  </si>
  <si>
    <t>Prperties</t>
  </si>
  <si>
    <t>SV1</t>
  </si>
  <si>
    <t>STRESS_1</t>
  </si>
  <si>
    <t>E_TOTAL_1</t>
  </si>
  <si>
    <t>E_PL_1</t>
  </si>
  <si>
    <t>NA</t>
  </si>
  <si>
    <t>FSURF_1</t>
  </si>
  <si>
    <t>LAMDA_1</t>
  </si>
  <si>
    <t>E_EL_1</t>
  </si>
  <si>
    <t>List of state variables:</t>
  </si>
  <si>
    <t>SV7</t>
  </si>
  <si>
    <t>SV2</t>
  </si>
  <si>
    <t>STRESS_2</t>
  </si>
  <si>
    <t>SV8</t>
  </si>
  <si>
    <t>E_TOTAL_2</t>
  </si>
  <si>
    <t>E_EL_2</t>
  </si>
  <si>
    <t>SV3</t>
  </si>
  <si>
    <t>SV9</t>
  </si>
  <si>
    <t>SV4</t>
  </si>
  <si>
    <t>SV10</t>
  </si>
  <si>
    <t>SV5</t>
  </si>
  <si>
    <t>SV11</t>
  </si>
  <si>
    <t>SV6</t>
  </si>
  <si>
    <t>SV12</t>
  </si>
  <si>
    <t>E_PL_2</t>
  </si>
  <si>
    <t>End of list</t>
  </si>
  <si>
    <t>F:\IST\Documents\ISTFILES\Projects\Scientific\Dehydratation\FEM code</t>
  </si>
  <si>
    <t>Code Filename:</t>
  </si>
  <si>
    <t>Mathematica output filename:</t>
  </si>
  <si>
    <t>PlasticityGeneral.out</t>
  </si>
  <si>
    <t>Path:</t>
  </si>
  <si>
    <t>Q_1</t>
  </si>
  <si>
    <t>θ</t>
  </si>
  <si>
    <t>Ec</t>
  </si>
  <si>
    <t>M</t>
  </si>
  <si>
    <t>c2wEc</t>
  </si>
  <si>
    <t>s2wEc</t>
  </si>
  <si>
    <t>K=30, G=10, Ec=0.05, M=1.7 ,theta=0.9, omega=67.5 degrees.</t>
  </si>
  <si>
    <t>ω</t>
  </si>
  <si>
    <t>Gc</t>
  </si>
  <si>
    <t>L</t>
  </si>
  <si>
    <t>MG</t>
  </si>
  <si>
    <t>MGc</t>
  </si>
  <si>
    <t>θγ</t>
  </si>
  <si>
    <t>θκ</t>
  </si>
  <si>
    <t>β</t>
  </si>
  <si>
    <t>xr</t>
  </si>
  <si>
    <t>cs2wEc</t>
  </si>
  <si>
    <t>sn2wEc</t>
  </si>
  <si>
    <t>h1</t>
  </si>
  <si>
    <t>h2</t>
  </si>
  <si>
    <t>h3</t>
  </si>
  <si>
    <t>h4</t>
  </si>
  <si>
    <t>eta1</t>
  </si>
  <si>
    <t>deg</t>
  </si>
  <si>
    <t>z=l_el/l_pl</t>
  </si>
  <si>
    <t>MPa</t>
  </si>
  <si>
    <t>mm</t>
  </si>
  <si>
    <t>1/MPa</t>
  </si>
  <si>
    <t>-</t>
  </si>
  <si>
    <t>SV19</t>
  </si>
  <si>
    <t>SV38</t>
  </si>
  <si>
    <t>SV59</t>
  </si>
  <si>
    <t>SV20</t>
  </si>
  <si>
    <t>SV39</t>
  </si>
  <si>
    <t>SV60</t>
  </si>
  <si>
    <t>STRESS_3</t>
  </si>
  <si>
    <t>SV21</t>
  </si>
  <si>
    <t>E_TOTAL_3</t>
  </si>
  <si>
    <t>SV40</t>
  </si>
  <si>
    <t>E_PL_3</t>
  </si>
  <si>
    <t>SV61</t>
  </si>
  <si>
    <t>E_EL_3</t>
  </si>
  <si>
    <t>STRESS_4</t>
  </si>
  <si>
    <t>SV22</t>
  </si>
  <si>
    <t>E_TOTAL_4</t>
  </si>
  <si>
    <t>SV41</t>
  </si>
  <si>
    <t>E_PL_4</t>
  </si>
  <si>
    <t>SV62</t>
  </si>
  <si>
    <t>E_EL_4</t>
  </si>
  <si>
    <t>STRESS_5</t>
  </si>
  <si>
    <t>SV23</t>
  </si>
  <si>
    <t>E_TOTAL_5</t>
  </si>
  <si>
    <t>SV42</t>
  </si>
  <si>
    <t>E_PL_5</t>
  </si>
  <si>
    <t>SV63</t>
  </si>
  <si>
    <t>E_EL_5</t>
  </si>
  <si>
    <t>STRESS_6</t>
  </si>
  <si>
    <t>SV24</t>
  </si>
  <si>
    <t>E_TOTAL_6</t>
  </si>
  <si>
    <t>SV43</t>
  </si>
  <si>
    <t>E_PL_6</t>
  </si>
  <si>
    <t>SV64</t>
  </si>
  <si>
    <t>E_EL_6</t>
  </si>
  <si>
    <t>STRESS_7</t>
  </si>
  <si>
    <t>SV25</t>
  </si>
  <si>
    <t>E_TOTAL_7</t>
  </si>
  <si>
    <t>SV44</t>
  </si>
  <si>
    <t>E_PL_7</t>
  </si>
  <si>
    <t>SV65</t>
  </si>
  <si>
    <t>E_EL_7</t>
  </si>
  <si>
    <t>STRESS_8</t>
  </si>
  <si>
    <t>SV26</t>
  </si>
  <si>
    <t>E_TOTAL_8</t>
  </si>
  <si>
    <t>SV45</t>
  </si>
  <si>
    <t>E_PL_8</t>
  </si>
  <si>
    <t>SV66</t>
  </si>
  <si>
    <t>E_EL_8</t>
  </si>
  <si>
    <t>STRESS_9</t>
  </si>
  <si>
    <t>SV27</t>
  </si>
  <si>
    <t>E_TOTAL_9</t>
  </si>
  <si>
    <t>SV46</t>
  </si>
  <si>
    <t>E_PL_9</t>
  </si>
  <si>
    <t>SV67</t>
  </si>
  <si>
    <t>E_EL_9</t>
  </si>
  <si>
    <t>STRESS_10</t>
  </si>
  <si>
    <t>SV28</t>
  </si>
  <si>
    <t>E_TOTAL_10</t>
  </si>
  <si>
    <t>SV47</t>
  </si>
  <si>
    <t>E_PL_10</t>
  </si>
  <si>
    <t>SV68</t>
  </si>
  <si>
    <t>E_EL_10</t>
  </si>
  <si>
    <t>STRESS_11</t>
  </si>
  <si>
    <t>SV29</t>
  </si>
  <si>
    <t>E_TOTAL_11</t>
  </si>
  <si>
    <t>SV48</t>
  </si>
  <si>
    <t>E_PL_11</t>
  </si>
  <si>
    <t>SV69</t>
  </si>
  <si>
    <t>E_EL_11</t>
  </si>
  <si>
    <t>STRESS_12</t>
  </si>
  <si>
    <t>SV30</t>
  </si>
  <si>
    <t>E_TOTAL_12</t>
  </si>
  <si>
    <t>SV49</t>
  </si>
  <si>
    <t>E_PL_12</t>
  </si>
  <si>
    <t>SV70</t>
  </si>
  <si>
    <t>E_EL_12</t>
  </si>
  <si>
    <t>SV13</t>
  </si>
  <si>
    <t>STRESS_13</t>
  </si>
  <si>
    <t>SV31</t>
  </si>
  <si>
    <t>E_TOTAL_13</t>
  </si>
  <si>
    <t>SV50</t>
  </si>
  <si>
    <t>E_PL_13</t>
  </si>
  <si>
    <t>SV71</t>
  </si>
  <si>
    <t>E_EL_13</t>
  </si>
  <si>
    <t>SV14</t>
  </si>
  <si>
    <t>STRESS_14</t>
  </si>
  <si>
    <t>SV32</t>
  </si>
  <si>
    <t>E_TOTAL_14</t>
  </si>
  <si>
    <t>SV51</t>
  </si>
  <si>
    <t>E_PL_14</t>
  </si>
  <si>
    <t>SV72</t>
  </si>
  <si>
    <t>E_EL_14</t>
  </si>
  <si>
    <t>SV15</t>
  </si>
  <si>
    <t>STRESS_15</t>
  </si>
  <si>
    <t>SV33</t>
  </si>
  <si>
    <t>E_TOTAL_15</t>
  </si>
  <si>
    <t>SV52</t>
  </si>
  <si>
    <t>E_PL_15</t>
  </si>
  <si>
    <t>SV73</t>
  </si>
  <si>
    <t>E_EL_15</t>
  </si>
  <si>
    <t>SV16</t>
  </si>
  <si>
    <t>STRESS_16</t>
  </si>
  <si>
    <t>SV34</t>
  </si>
  <si>
    <t>E_TOTAL_16</t>
  </si>
  <si>
    <t>SV53</t>
  </si>
  <si>
    <t>E_PL_16</t>
  </si>
  <si>
    <t>SV74</t>
  </si>
  <si>
    <t>E_EL_16</t>
  </si>
  <si>
    <t>SV17</t>
  </si>
  <si>
    <t>STRESS_17</t>
  </si>
  <si>
    <t>SV35</t>
  </si>
  <si>
    <t>E_TOTAL_17</t>
  </si>
  <si>
    <t>SV54</t>
  </si>
  <si>
    <t>E_PL_17</t>
  </si>
  <si>
    <t>SV75</t>
  </si>
  <si>
    <t>E_EL_17</t>
  </si>
  <si>
    <t>SV18</t>
  </si>
  <si>
    <t>STRESS_18</t>
  </si>
  <si>
    <t>SV36</t>
  </si>
  <si>
    <t>E_TOTAL_18</t>
  </si>
  <si>
    <t>SV55</t>
  </si>
  <si>
    <t>E_PL_18</t>
  </si>
  <si>
    <t>SV76</t>
  </si>
  <si>
    <t>E_EL_18</t>
  </si>
  <si>
    <t>SV37</t>
  </si>
  <si>
    <t>SV56</t>
  </si>
  <si>
    <t>SV57</t>
  </si>
  <si>
    <t>SV58</t>
  </si>
  <si>
    <t xml:space="preserve">1_x000D_
</t>
  </si>
  <si>
    <t>D_E_PL_1</t>
  </si>
  <si>
    <t>D_E_PL_2</t>
  </si>
  <si>
    <t>D_E_PL_3</t>
  </si>
  <si>
    <t>D_E_PL_4</t>
  </si>
  <si>
    <t>D_E_PL_5</t>
  </si>
  <si>
    <t>D_E_PL_6</t>
  </si>
  <si>
    <t>RESERVED_1</t>
  </si>
  <si>
    <t>RESERVED_2</t>
  </si>
  <si>
    <t>RESERVED_3</t>
  </si>
  <si>
    <t>RESERVED_4</t>
  </si>
  <si>
    <t>RESERVED_5</t>
  </si>
  <si>
    <t>RESERVED_6</t>
  </si>
  <si>
    <t>RESERVED_7</t>
  </si>
  <si>
    <t>RESERVED_8</t>
  </si>
  <si>
    <t>RESERVED_9</t>
  </si>
  <si>
    <t>RESERVED_10</t>
  </si>
  <si>
    <t>Number of reserved variables:</t>
  </si>
  <si>
    <t>Total number of state variables:</t>
  </si>
  <si>
    <t>D_E_PL_7</t>
  </si>
  <si>
    <t>D_E_PL_8</t>
  </si>
  <si>
    <t>D_E_PL_9</t>
  </si>
  <si>
    <t>D_E_PL_10</t>
  </si>
  <si>
    <t>D_E_PL_11</t>
  </si>
  <si>
    <t>D_E_PL_12</t>
  </si>
  <si>
    <t>D_E_PL_13</t>
  </si>
  <si>
    <t>D_E_PL_14</t>
  </si>
  <si>
    <t>D_E_PL_15</t>
  </si>
  <si>
    <t>D_E_PL_16</t>
  </si>
  <si>
    <t>D_E_PL_17</t>
  </si>
  <si>
    <t>D_E_PL_18</t>
  </si>
  <si>
    <t>SV77</t>
  </si>
  <si>
    <t>SV78</t>
  </si>
  <si>
    <t>SV79</t>
  </si>
  <si>
    <t>SV80</t>
  </si>
  <si>
    <t>SV81</t>
  </si>
  <si>
    <t>SV82</t>
  </si>
  <si>
    <t>SV83</t>
  </si>
  <si>
    <t>SV84</t>
  </si>
  <si>
    <t>SV85</t>
  </si>
  <si>
    <t>SV86</t>
  </si>
  <si>
    <t>SV87</t>
  </si>
  <si>
    <t>SV88</t>
  </si>
  <si>
    <t>SV89</t>
  </si>
  <si>
    <t>SV90</t>
  </si>
  <si>
    <t>SV91</t>
  </si>
  <si>
    <t>SV92</t>
  </si>
  <si>
    <t>SV93</t>
  </si>
  <si>
    <t>SV94</t>
  </si>
  <si>
    <t>STRESS_19</t>
  </si>
  <si>
    <t>E_TOTAL_19</t>
  </si>
  <si>
    <t>E_PL_19</t>
  </si>
  <si>
    <t>SV95</t>
  </si>
  <si>
    <t>D_E_PL_19</t>
  </si>
  <si>
    <t>STRESS_20</t>
  </si>
  <si>
    <t>E_TOTAL_20</t>
  </si>
  <si>
    <t>E_PL_20</t>
  </si>
  <si>
    <t>SV96</t>
  </si>
  <si>
    <t>D_E_PL_20</t>
  </si>
  <si>
    <t>STRESS_21</t>
  </si>
  <si>
    <t>E_TOTAL_21</t>
  </si>
  <si>
    <t>E_PL_21</t>
  </si>
  <si>
    <t>SV97</t>
  </si>
  <si>
    <t>D_E_PL_21</t>
  </si>
  <si>
    <t>STRESS_22</t>
  </si>
  <si>
    <t>E_TOTAL_22</t>
  </si>
  <si>
    <t>E_PL_22</t>
  </si>
  <si>
    <t>SV98</t>
  </si>
  <si>
    <t>D_E_PL_22</t>
  </si>
  <si>
    <t>STRESS_23</t>
  </si>
  <si>
    <t>E_TOTAL_23</t>
  </si>
  <si>
    <t>E_PL_23</t>
  </si>
  <si>
    <t>SV99</t>
  </si>
  <si>
    <t>D_E_PL_23</t>
  </si>
  <si>
    <t>STRESS_24</t>
  </si>
  <si>
    <t>E_TOTAL_24</t>
  </si>
  <si>
    <t>E_PL_24</t>
  </si>
  <si>
    <t>SV100</t>
  </si>
  <si>
    <t>D_E_PL_24</t>
  </si>
  <si>
    <t>SV101</t>
  </si>
  <si>
    <t>SV102</t>
  </si>
  <si>
    <t>SV103</t>
  </si>
  <si>
    <t>SV104</t>
  </si>
  <si>
    <t>SV105</t>
  </si>
  <si>
    <t>SV106</t>
  </si>
  <si>
    <t>SV107</t>
  </si>
  <si>
    <t>SV108</t>
  </si>
  <si>
    <t>SV109</t>
  </si>
  <si>
    <t>SV110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</si>
</sst>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58"/>
      <name val="Arial"/>
      <family val="2"/>
      <charset val="161"/>
    </font>
    <font>
      <b/>
      <i/>
      <sz val="10"/>
      <color indexed="52"/>
      <name val="Arial"/>
      <family val="2"/>
      <charset val="161"/>
    </font>
    <font>
      <b/>
      <i/>
      <sz val="10"/>
      <color indexed="17"/>
      <name val="Arial"/>
      <family val="2"/>
      <charset val="161"/>
    </font>
    <font>
      <sz val="10"/>
      <color indexed="23"/>
      <name val="Cambria"/>
      <family val="1"/>
      <scheme val="major"/>
    </font>
    <font>
      <sz val="10"/>
      <color indexed="12"/>
      <name val="Arial"/>
      <family val="2"/>
      <charset val="161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A0101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5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16" fillId="4" borderId="7" xfId="0" applyFont="1" applyFill="1" applyBorder="1" applyAlignment="1">
      <alignment vertical="center"/>
    </xf>
    <xf numFmtId="0" fontId="14" fillId="2" borderId="0" xfId="0" applyFont="1" applyFill="1"/>
    <xf numFmtId="0" fontId="13" fillId="0" borderId="6" xfId="0" applyFont="1" applyBorder="1" applyProtection="1">
      <protection locked="0"/>
    </xf>
    <xf numFmtId="0" fontId="13" fillId="0" borderId="0" xfId="0" applyFont="1" applyBorder="1" applyProtection="1">
      <protection locked="0"/>
    </xf>
    <xf numFmtId="22" fontId="13" fillId="0" borderId="5" xfId="0" applyNumberFormat="1" applyFont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22" fontId="13" fillId="2" borderId="5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2" fontId="13" fillId="0" borderId="8" xfId="0" applyNumberFormat="1" applyFont="1" applyBorder="1" applyAlignment="1" applyProtection="1">
      <alignment horizontal="center"/>
      <protection locked="0"/>
    </xf>
    <xf numFmtId="0" fontId="18" fillId="2" borderId="0" xfId="0" applyFont="1" applyFill="1" applyAlignment="1">
      <alignment horizontal="right"/>
    </xf>
    <xf numFmtId="0" fontId="19" fillId="2" borderId="6" xfId="0" applyFont="1" applyFill="1" applyBorder="1" applyProtection="1">
      <protection locked="0"/>
    </xf>
    <xf numFmtId="0" fontId="11" fillId="0" borderId="0" xfId="1"/>
    <xf numFmtId="0" fontId="10" fillId="0" borderId="0" xfId="1" applyFont="1"/>
    <xf numFmtId="0" fontId="9" fillId="0" borderId="0" xfId="1" applyFont="1"/>
    <xf numFmtId="0" fontId="8" fillId="0" borderId="0" xfId="1" applyFont="1"/>
    <xf numFmtId="0" fontId="7" fillId="0" borderId="0" xfId="1" applyFont="1"/>
    <xf numFmtId="0" fontId="20" fillId="6" borderId="0" xfId="2"/>
    <xf numFmtId="0" fontId="21" fillId="7" borderId="0" xfId="3"/>
    <xf numFmtId="0" fontId="9" fillId="0" borderId="0" xfId="1" applyFont="1" applyFill="1"/>
    <xf numFmtId="0" fontId="11" fillId="0" borderId="0" xfId="1" applyFill="1"/>
    <xf numFmtId="11" fontId="20" fillId="0" borderId="0" xfId="2" applyNumberFormat="1" applyFill="1"/>
    <xf numFmtId="0" fontId="20" fillId="0" borderId="0" xfId="2" applyFill="1"/>
    <xf numFmtId="0" fontId="8" fillId="0" borderId="0" xfId="1" applyFont="1" applyFill="1"/>
    <xf numFmtId="11" fontId="21" fillId="7" borderId="0" xfId="3" applyNumberForma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22" fillId="0" borderId="0" xfId="1" applyFont="1"/>
    <xf numFmtId="0" fontId="23" fillId="0" borderId="0" xfId="0" applyFont="1"/>
    <xf numFmtId="11" fontId="22" fillId="0" borderId="0" xfId="2" applyNumberFormat="1" applyFont="1" applyFill="1"/>
    <xf numFmtId="0" fontId="22" fillId="0" borderId="0" xfId="2" applyFont="1" applyFill="1"/>
    <xf numFmtId="0" fontId="3" fillId="0" borderId="0" xfId="1" applyFont="1"/>
    <xf numFmtId="0" fontId="20" fillId="6" borderId="0" xfId="2" applyNumberFormat="1"/>
    <xf numFmtId="0" fontId="2" fillId="0" borderId="0" xfId="1" applyFont="1"/>
    <xf numFmtId="0" fontId="24" fillId="0" borderId="0" xfId="0" applyFont="1"/>
    <xf numFmtId="0" fontId="11" fillId="0" borderId="0" xfId="1" applyAlignment="1">
      <alignment wrapText="1"/>
    </xf>
    <xf numFmtId="0" fontId="1" fillId="0" borderId="0" xfId="1" applyFont="1"/>
    <xf numFmtId="0" fontId="25" fillId="8" borderId="0" xfId="2" applyFont="1" applyFill="1"/>
    <xf numFmtId="0" fontId="15" fillId="3" borderId="7" xfId="0" applyFont="1" applyFill="1" applyBorder="1" applyAlignment="1"/>
    <xf numFmtId="0" fontId="15" fillId="3" borderId="9" xfId="0" applyFont="1" applyFill="1" applyBorder="1" applyAlignment="1"/>
    <xf numFmtId="0" fontId="17" fillId="5" borderId="9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</cellXfs>
  <cellStyles count="4">
    <cellStyle name="Neutre" xfId="3" builtinId="28"/>
    <cellStyle name="Normal" xfId="0" builtinId="0"/>
    <cellStyle name="Normal 2" xfId="1"/>
    <cellStyle name="Satisfaisant" xfId="2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DialogTitle" ax:value="Choose a Fortran file"/>
  <ax:ocxPr ax:name="FileName" ax:value="C:\SIMULIA\ABAPROJECT\04 NEWCOSFEM\MG1\UEL405_RESIDUAL2.f"/>
  <ax:ocxPr ax:name="Filter" ax:value="Fortran files *.f|*.f"/>
  <ax:ocxPr ax:name="FilterIndex" ax:value="1"/>
  <ax:ocxPr ax:name="Flags" ax:value="102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23</xdr:row>
          <xdr:rowOff>114300</xdr:rowOff>
        </xdr:from>
        <xdr:to>
          <xdr:col>0</xdr:col>
          <xdr:colOff>388620</xdr:colOff>
          <xdr:row>25</xdr:row>
          <xdr:rowOff>83820</xdr:rowOff>
        </xdr:to>
        <xdr:sp macro="" textlink="">
          <xdr:nvSpPr>
            <xdr:cNvPr id="1026" name="cDl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1857375</xdr:colOff>
      <xdr:row>20</xdr:row>
      <xdr:rowOff>114300</xdr:rowOff>
    </xdr:from>
    <xdr:to>
      <xdr:col>2</xdr:col>
      <xdr:colOff>1057275</xdr:colOff>
      <xdr:row>23</xdr:row>
      <xdr:rowOff>66675</xdr:rowOff>
    </xdr:to>
    <xdr:sp macro="[0]!CreateUEL" textlink="">
      <xdr:nvSpPr>
        <xdr:cNvPr id="3" name="Rectangle 2"/>
        <xdr:cNvSpPr/>
      </xdr:nvSpPr>
      <xdr:spPr>
        <a:xfrm>
          <a:off x="5972175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UEL code</a:t>
          </a:r>
        </a:p>
      </xdr:txBody>
    </xdr:sp>
    <xdr:clientData/>
  </xdr:twoCellAnchor>
  <xdr:twoCellAnchor>
    <xdr:from>
      <xdr:col>0</xdr:col>
      <xdr:colOff>2247900</xdr:colOff>
      <xdr:row>20</xdr:row>
      <xdr:rowOff>114300</xdr:rowOff>
    </xdr:from>
    <xdr:to>
      <xdr:col>0</xdr:col>
      <xdr:colOff>3352800</xdr:colOff>
      <xdr:row>23</xdr:row>
      <xdr:rowOff>66675</xdr:rowOff>
    </xdr:to>
    <xdr:sp macro="[0]!InputFile" textlink="">
      <xdr:nvSpPr>
        <xdr:cNvPr id="4" name="Rectangle 3"/>
        <xdr:cNvSpPr/>
      </xdr:nvSpPr>
      <xdr:spPr>
        <a:xfrm>
          <a:off x="2247900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input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342900</xdr:colOff>
      <xdr:row>8</xdr:row>
      <xdr:rowOff>114300</xdr:rowOff>
    </xdr:to>
    <xdr:sp macro="[0]!PlasticityCodeGenerator" textlink="">
      <xdr:nvSpPr>
        <xdr:cNvPr id="2" name="Rectangle 1"/>
        <xdr:cNvSpPr/>
      </xdr:nvSpPr>
      <xdr:spPr>
        <a:xfrm>
          <a:off x="3048000" y="97155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Set plasticity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"/>
  <dimension ref="A1:E26"/>
  <sheetViews>
    <sheetView topLeftCell="A19" workbookViewId="0">
      <selection activeCell="A6" sqref="A6"/>
    </sheetView>
  </sheetViews>
  <sheetFormatPr baseColWidth="10" defaultColWidth="0" defaultRowHeight="13.2" zeroHeight="1" x14ac:dyDescent="0.25"/>
  <cols>
    <col min="1" max="1" width="61.77734375" customWidth="1"/>
    <col min="2" max="2" width="28.5546875" customWidth="1"/>
    <col min="3" max="3" width="19.77734375" customWidth="1"/>
    <col min="4" max="5" width="9.109375" customWidth="1"/>
  </cols>
  <sheetData>
    <row r="1" spans="1:5" x14ac:dyDescent="0.25">
      <c r="A1" s="3"/>
      <c r="B1" s="4"/>
      <c r="C1" s="5"/>
      <c r="D1" s="1"/>
      <c r="E1" s="10">
        <f>SUM(E6:E19)</f>
        <v>1</v>
      </c>
    </row>
    <row r="2" spans="1:5" x14ac:dyDescent="0.25">
      <c r="A2" s="47" t="s">
        <v>1</v>
      </c>
      <c r="B2" s="48"/>
      <c r="C2" s="2" t="s">
        <v>2</v>
      </c>
      <c r="D2" s="1"/>
      <c r="E2" s="1"/>
    </row>
    <row r="3" spans="1:5" ht="26.25" customHeight="1" x14ac:dyDescent="0.25">
      <c r="A3" s="19" t="s">
        <v>5</v>
      </c>
      <c r="B3" s="14" t="s">
        <v>6</v>
      </c>
      <c r="C3" s="15">
        <v>42435.047627314816</v>
      </c>
      <c r="D3" s="1"/>
      <c r="E3" s="1"/>
    </row>
    <row r="4" spans="1:5" x14ac:dyDescent="0.25">
      <c r="A4" s="7"/>
      <c r="B4" s="8"/>
      <c r="C4" s="6"/>
      <c r="D4" s="1"/>
      <c r="E4" s="1"/>
    </row>
    <row r="5" spans="1:5" x14ac:dyDescent="0.25">
      <c r="A5" s="47" t="s">
        <v>0</v>
      </c>
      <c r="B5" s="48"/>
      <c r="C5" s="2" t="s">
        <v>2</v>
      </c>
      <c r="D5" s="1"/>
      <c r="E5" s="1"/>
    </row>
    <row r="6" spans="1:5" ht="18.75" customHeight="1" x14ac:dyDescent="0.25">
      <c r="A6" s="11" t="s">
        <v>52</v>
      </c>
      <c r="B6" s="12" t="s">
        <v>12</v>
      </c>
      <c r="C6" s="13">
        <v>42435.047615740739</v>
      </c>
      <c r="D6" s="1"/>
      <c r="E6" s="10">
        <f t="shared" ref="E6:E15" si="0">IF(B6="",0,1)</f>
        <v>1</v>
      </c>
    </row>
    <row r="7" spans="1:5" ht="18.75" customHeight="1" x14ac:dyDescent="0.25">
      <c r="A7" s="11"/>
      <c r="B7" s="12"/>
      <c r="C7" s="13"/>
      <c r="D7" s="1"/>
      <c r="E7" s="10">
        <f t="shared" si="0"/>
        <v>0</v>
      </c>
    </row>
    <row r="8" spans="1:5" ht="18.75" customHeight="1" x14ac:dyDescent="0.25">
      <c r="A8" s="11"/>
      <c r="B8" s="12"/>
      <c r="C8" s="13"/>
      <c r="D8" s="1"/>
      <c r="E8" s="10">
        <f t="shared" si="0"/>
        <v>0</v>
      </c>
    </row>
    <row r="9" spans="1:5" ht="18.75" customHeight="1" x14ac:dyDescent="0.25">
      <c r="A9" s="11"/>
      <c r="B9" s="12"/>
      <c r="C9" s="13"/>
      <c r="D9" s="1"/>
      <c r="E9" s="10">
        <f t="shared" si="0"/>
        <v>0</v>
      </c>
    </row>
    <row r="10" spans="1:5" ht="18.75" customHeight="1" x14ac:dyDescent="0.25">
      <c r="A10" s="11"/>
      <c r="B10" s="12"/>
      <c r="C10" s="13"/>
      <c r="D10" s="1"/>
      <c r="E10" s="10">
        <f t="shared" si="0"/>
        <v>0</v>
      </c>
    </row>
    <row r="11" spans="1:5" ht="18.75" customHeight="1" x14ac:dyDescent="0.25">
      <c r="A11" s="11"/>
      <c r="B11" s="12"/>
      <c r="C11" s="13"/>
      <c r="D11" s="1"/>
      <c r="E11" s="10">
        <f t="shared" si="0"/>
        <v>0</v>
      </c>
    </row>
    <row r="12" spans="1:5" ht="18.75" customHeight="1" x14ac:dyDescent="0.25">
      <c r="A12" s="11"/>
      <c r="B12" s="12"/>
      <c r="C12" s="13"/>
      <c r="D12" s="1"/>
      <c r="E12" s="10">
        <f t="shared" si="0"/>
        <v>0</v>
      </c>
    </row>
    <row r="13" spans="1:5" ht="18.75" customHeight="1" x14ac:dyDescent="0.25">
      <c r="A13" s="11"/>
      <c r="B13" s="12"/>
      <c r="C13" s="13"/>
      <c r="D13" s="1"/>
      <c r="E13" s="10">
        <f t="shared" si="0"/>
        <v>0</v>
      </c>
    </row>
    <row r="14" spans="1:5" ht="18.75" customHeight="1" x14ac:dyDescent="0.25">
      <c r="A14" s="11"/>
      <c r="B14" s="12"/>
      <c r="C14" s="13"/>
      <c r="D14" s="1"/>
      <c r="E14" s="10">
        <f t="shared" si="0"/>
        <v>0</v>
      </c>
    </row>
    <row r="15" spans="1:5" ht="18.75" customHeight="1" x14ac:dyDescent="0.25">
      <c r="A15" s="11"/>
      <c r="B15" s="12"/>
      <c r="C15" s="13"/>
      <c r="D15" s="1"/>
      <c r="E15" s="10">
        <f t="shared" si="0"/>
        <v>0</v>
      </c>
    </row>
    <row r="16" spans="1:5" ht="18.75" customHeight="1" x14ac:dyDescent="0.25">
      <c r="A16" s="11"/>
      <c r="B16" s="16"/>
      <c r="C16" s="13"/>
      <c r="D16" s="1"/>
      <c r="E16" s="10">
        <f>IF(B16="",0,1)</f>
        <v>0</v>
      </c>
    </row>
    <row r="17" spans="1:5" ht="18.75" customHeight="1" x14ac:dyDescent="0.25">
      <c r="A17" s="11"/>
      <c r="B17" s="12"/>
      <c r="C17" s="13"/>
      <c r="D17" s="1"/>
      <c r="E17" s="10">
        <f>IF(B17="",0,1)</f>
        <v>0</v>
      </c>
    </row>
    <row r="18" spans="1:5" ht="18.75" customHeight="1" x14ac:dyDescent="0.25">
      <c r="A18" s="11"/>
      <c r="B18" s="12"/>
      <c r="C18" s="13"/>
      <c r="D18" s="1"/>
      <c r="E18" s="10">
        <f>IF(B18="",0,1)</f>
        <v>0</v>
      </c>
    </row>
    <row r="19" spans="1:5" ht="18.75" customHeight="1" x14ac:dyDescent="0.25">
      <c r="A19" s="11"/>
      <c r="B19" s="16"/>
      <c r="C19" s="17"/>
      <c r="D19" s="1"/>
      <c r="E19" s="10">
        <f>IF(B19="",0,1)</f>
        <v>0</v>
      </c>
    </row>
    <row r="20" spans="1:5" ht="26.25" customHeight="1" x14ac:dyDescent="0.25">
      <c r="A20" s="9" t="s">
        <v>4</v>
      </c>
      <c r="B20" s="49" t="s">
        <v>3</v>
      </c>
      <c r="C20" s="50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s="1" customFormat="1" x14ac:dyDescent="0.25">
      <c r="E26" s="18" t="s">
        <v>13</v>
      </c>
    </row>
  </sheetData>
  <mergeCells count="3">
    <mergeCell ref="A2:B2"/>
    <mergeCell ref="A5:B5"/>
    <mergeCell ref="B20:C20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Dlg">
          <controlPr defaultSize="0" autoLine="0" r:id="rId5">
            <anchor moveWithCells="1">
              <from>
                <xdr:col>0</xdr:col>
                <xdr:colOff>83820</xdr:colOff>
                <xdr:row>23</xdr:row>
                <xdr:rowOff>114300</xdr:rowOff>
              </from>
              <to>
                <xdr:col>0</xdr:col>
                <xdr:colOff>388620</xdr:colOff>
                <xdr:row>25</xdr:row>
                <xdr:rowOff>83820</xdr:rowOff>
              </to>
            </anchor>
          </controlPr>
        </control>
      </mc:Choice>
      <mc:Fallback>
        <control shapeId="1026" r:id="rId4" name="cDl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last"/>
  <dimension ref="A1:C4"/>
  <sheetViews>
    <sheetView workbookViewId="0">
      <selection activeCell="E5" sqref="E5"/>
    </sheetView>
  </sheetViews>
  <sheetFormatPr baseColWidth="10" defaultRowHeight="13.2" x14ac:dyDescent="0.25"/>
  <cols>
    <col min="2" max="2" width="15.88671875" customWidth="1"/>
  </cols>
  <sheetData>
    <row r="1" spans="1:3" x14ac:dyDescent="0.25">
      <c r="A1" t="s">
        <v>56</v>
      </c>
      <c r="C1" t="str">
        <f ca="1">LEFT(CELL("filename",A1),SEARCH("[",CELL("filename",A1))-1)</f>
        <v>C:\Users\alexsta_dev\numerical_geolab_materials\UMATERIALS\COSSERAT3D-THM\</v>
      </c>
    </row>
    <row r="2" spans="1:3" x14ac:dyDescent="0.25">
      <c r="A2" t="s">
        <v>53</v>
      </c>
      <c r="C2" t="str">
        <f ca="1">INDEX(FileNames,1)</f>
        <v>hyplast_material_Cosserat3D-THM.for</v>
      </c>
    </row>
    <row r="3" spans="1:3" x14ac:dyDescent="0.25">
      <c r="A3" t="s">
        <v>54</v>
      </c>
      <c r="C3" t="s">
        <v>55</v>
      </c>
    </row>
    <row r="4" spans="1:3" x14ac:dyDescent="0.25">
      <c r="C4" s="43" t="str">
        <f ca="1">IFERROR(INDEX(FileNames,ROW()-2),"")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VARS"/>
  <dimension ref="A1:H113"/>
  <sheetViews>
    <sheetView tabSelected="1" topLeftCell="A71" workbookViewId="0">
      <selection activeCell="G79" sqref="G79"/>
    </sheetView>
  </sheetViews>
  <sheetFormatPr baseColWidth="10" defaultColWidth="9.109375" defaultRowHeight="14.4" x14ac:dyDescent="0.3"/>
  <cols>
    <col min="1" max="3" width="9.109375" style="20"/>
    <col min="4" max="4" width="12" style="20" bestFit="1" customWidth="1"/>
    <col min="5" max="16384" width="9.109375" style="20"/>
  </cols>
  <sheetData>
    <row r="1" spans="1:8" ht="14.25" customHeight="1" x14ac:dyDescent="0.3">
      <c r="A1" s="44" t="s">
        <v>214</v>
      </c>
    </row>
    <row r="2" spans="1:8" x14ac:dyDescent="0.3">
      <c r="G2" s="33" t="s">
        <v>35</v>
      </c>
    </row>
    <row r="3" spans="1:8" x14ac:dyDescent="0.3">
      <c r="A3" s="24" t="s">
        <v>23</v>
      </c>
      <c r="E3" s="25">
        <v>24</v>
      </c>
      <c r="G3" s="33" t="s">
        <v>27</v>
      </c>
      <c r="H3" s="20" t="s">
        <v>28</v>
      </c>
    </row>
    <row r="4" spans="1:8" x14ac:dyDescent="0.3">
      <c r="A4" s="24" t="s">
        <v>24</v>
      </c>
      <c r="E4" s="25">
        <v>1</v>
      </c>
      <c r="G4" s="20" t="s">
        <v>37</v>
      </c>
      <c r="H4" s="20" t="s">
        <v>38</v>
      </c>
    </row>
    <row r="5" spans="1:8" x14ac:dyDescent="0.3">
      <c r="A5" s="24" t="s">
        <v>25</v>
      </c>
      <c r="E5" s="25">
        <v>1</v>
      </c>
      <c r="G5" s="20" t="s">
        <v>42</v>
      </c>
      <c r="H5" s="20" t="s">
        <v>92</v>
      </c>
    </row>
    <row r="6" spans="1:8" x14ac:dyDescent="0.3">
      <c r="A6" s="24" t="s">
        <v>22</v>
      </c>
      <c r="E6" s="25">
        <f>2*E3+IF(E4&lt;&gt;0,E3*2+E4*2+1,0)+E5</f>
        <v>100</v>
      </c>
      <c r="G6" s="20" t="s">
        <v>44</v>
      </c>
      <c r="H6" s="20" t="s">
        <v>99</v>
      </c>
    </row>
    <row r="7" spans="1:8" x14ac:dyDescent="0.3">
      <c r="A7" s="45" t="s">
        <v>231</v>
      </c>
      <c r="E7" s="25">
        <v>10</v>
      </c>
      <c r="G7" s="20" t="s">
        <v>46</v>
      </c>
      <c r="H7" s="20" t="s">
        <v>106</v>
      </c>
    </row>
    <row r="8" spans="1:8" x14ac:dyDescent="0.3">
      <c r="A8" s="45" t="s">
        <v>232</v>
      </c>
      <c r="E8" s="46">
        <f>E7+E6</f>
        <v>110</v>
      </c>
      <c r="F8" s="33"/>
      <c r="G8" s="20" t="s">
        <v>48</v>
      </c>
      <c r="H8" s="20" t="s">
        <v>113</v>
      </c>
    </row>
    <row r="9" spans="1:8" x14ac:dyDescent="0.3">
      <c r="F9" s="33"/>
      <c r="G9" s="20" t="s">
        <v>36</v>
      </c>
      <c r="H9" s="20" t="s">
        <v>120</v>
      </c>
    </row>
    <row r="10" spans="1:8" x14ac:dyDescent="0.3">
      <c r="F10" s="33"/>
      <c r="G10" s="20" t="s">
        <v>39</v>
      </c>
      <c r="H10" s="20" t="s">
        <v>127</v>
      </c>
    </row>
    <row r="11" spans="1:8" x14ac:dyDescent="0.3">
      <c r="F11" s="33"/>
      <c r="G11" s="20" t="s">
        <v>43</v>
      </c>
      <c r="H11" s="20" t="s">
        <v>134</v>
      </c>
    </row>
    <row r="12" spans="1:8" x14ac:dyDescent="0.3">
      <c r="F12" s="33"/>
      <c r="G12" s="20" t="s">
        <v>45</v>
      </c>
      <c r="H12" s="20" t="s">
        <v>141</v>
      </c>
    </row>
    <row r="13" spans="1:8" x14ac:dyDescent="0.3">
      <c r="F13" s="33"/>
      <c r="G13" s="20" t="s">
        <v>47</v>
      </c>
      <c r="H13" s="20" t="s">
        <v>148</v>
      </c>
    </row>
    <row r="14" spans="1:8" x14ac:dyDescent="0.3">
      <c r="F14" s="33"/>
      <c r="G14" s="20" t="s">
        <v>49</v>
      </c>
      <c r="H14" s="20" t="s">
        <v>155</v>
      </c>
    </row>
    <row r="15" spans="1:8" x14ac:dyDescent="0.3">
      <c r="A15" s="27"/>
      <c r="B15" s="29"/>
      <c r="C15" s="27"/>
      <c r="D15" s="27"/>
      <c r="E15" s="29"/>
      <c r="F15" s="33"/>
      <c r="G15" s="20" t="s">
        <v>162</v>
      </c>
      <c r="H15" s="20" t="s">
        <v>163</v>
      </c>
    </row>
    <row r="16" spans="1:8" x14ac:dyDescent="0.3">
      <c r="A16" s="27"/>
      <c r="B16" s="29"/>
      <c r="C16" s="28"/>
      <c r="D16" s="27"/>
      <c r="E16" s="30"/>
      <c r="G16" s="20" t="s">
        <v>170</v>
      </c>
      <c r="H16" s="20" t="s">
        <v>171</v>
      </c>
    </row>
    <row r="17" spans="1:8" x14ac:dyDescent="0.3">
      <c r="A17" s="27"/>
      <c r="B17" s="29"/>
      <c r="C17" s="28"/>
      <c r="D17" s="28"/>
      <c r="E17" s="28"/>
      <c r="G17" s="20" t="s">
        <v>178</v>
      </c>
      <c r="H17" s="20" t="s">
        <v>179</v>
      </c>
    </row>
    <row r="18" spans="1:8" x14ac:dyDescent="0.3">
      <c r="A18" s="27"/>
      <c r="B18" s="30"/>
      <c r="C18" s="28"/>
      <c r="D18" s="28"/>
      <c r="E18" s="28"/>
      <c r="G18" s="20" t="s">
        <v>186</v>
      </c>
      <c r="H18" s="20" t="s">
        <v>187</v>
      </c>
    </row>
    <row r="19" spans="1:8" x14ac:dyDescent="0.3">
      <c r="A19" s="27"/>
      <c r="B19" s="30"/>
      <c r="C19" s="28"/>
      <c r="D19" s="28"/>
      <c r="E19" s="28"/>
      <c r="G19" s="20" t="s">
        <v>194</v>
      </c>
      <c r="H19" s="20" t="s">
        <v>195</v>
      </c>
    </row>
    <row r="20" spans="1:8" x14ac:dyDescent="0.3">
      <c r="A20" s="27"/>
      <c r="B20" s="29"/>
      <c r="C20" s="28"/>
      <c r="D20" s="28"/>
      <c r="E20" s="28"/>
      <c r="G20" s="20" t="s">
        <v>202</v>
      </c>
      <c r="H20" s="20" t="s">
        <v>203</v>
      </c>
    </row>
    <row r="21" spans="1:8" x14ac:dyDescent="0.3">
      <c r="A21" s="28"/>
      <c r="B21" s="28"/>
      <c r="C21" s="28"/>
      <c r="D21" s="28"/>
      <c r="E21" s="28"/>
      <c r="G21" s="20" t="s">
        <v>86</v>
      </c>
      <c r="H21" s="20" t="s">
        <v>263</v>
      </c>
    </row>
    <row r="22" spans="1:8" x14ac:dyDescent="0.3">
      <c r="G22" s="20" t="s">
        <v>89</v>
      </c>
      <c r="H22" s="20" t="s">
        <v>268</v>
      </c>
    </row>
    <row r="23" spans="1:8" x14ac:dyDescent="0.3">
      <c r="A23" s="34"/>
      <c r="G23" s="20" t="s">
        <v>93</v>
      </c>
      <c r="H23" s="20" t="s">
        <v>273</v>
      </c>
    </row>
    <row r="24" spans="1:8" x14ac:dyDescent="0.3">
      <c r="G24" s="20" t="s">
        <v>100</v>
      </c>
      <c r="H24" s="20" t="s">
        <v>278</v>
      </c>
    </row>
    <row r="25" spans="1:8" x14ac:dyDescent="0.3">
      <c r="G25" s="20" t="s">
        <v>107</v>
      </c>
      <c r="H25" s="20" t="s">
        <v>283</v>
      </c>
    </row>
    <row r="26" spans="1:8" x14ac:dyDescent="0.3">
      <c r="G26" s="20" t="s">
        <v>114</v>
      </c>
      <c r="H26" s="20" t="s">
        <v>288</v>
      </c>
    </row>
    <row r="27" spans="1:8" x14ac:dyDescent="0.3">
      <c r="G27" s="20" t="s">
        <v>121</v>
      </c>
      <c r="H27" s="20" t="s">
        <v>29</v>
      </c>
    </row>
    <row r="28" spans="1:8" x14ac:dyDescent="0.3">
      <c r="G28" s="20" t="s">
        <v>128</v>
      </c>
      <c r="H28" s="20" t="s">
        <v>40</v>
      </c>
    </row>
    <row r="29" spans="1:8" x14ac:dyDescent="0.3">
      <c r="G29" s="20" t="s">
        <v>135</v>
      </c>
      <c r="H29" s="20" t="s">
        <v>94</v>
      </c>
    </row>
    <row r="30" spans="1:8" x14ac:dyDescent="0.3">
      <c r="G30" s="20" t="s">
        <v>142</v>
      </c>
      <c r="H30" s="20" t="s">
        <v>101</v>
      </c>
    </row>
    <row r="31" spans="1:8" x14ac:dyDescent="0.3">
      <c r="G31" s="20" t="s">
        <v>149</v>
      </c>
      <c r="H31" s="20" t="s">
        <v>108</v>
      </c>
    </row>
    <row r="32" spans="1:8" x14ac:dyDescent="0.3">
      <c r="G32" s="20" t="s">
        <v>156</v>
      </c>
      <c r="H32" s="20" t="s">
        <v>115</v>
      </c>
    </row>
    <row r="33" spans="7:8" x14ac:dyDescent="0.3">
      <c r="G33" s="20" t="s">
        <v>164</v>
      </c>
      <c r="H33" s="20" t="s">
        <v>122</v>
      </c>
    </row>
    <row r="34" spans="7:8" x14ac:dyDescent="0.3">
      <c r="G34" s="20" t="s">
        <v>172</v>
      </c>
      <c r="H34" s="20" t="s">
        <v>129</v>
      </c>
    </row>
    <row r="35" spans="7:8" x14ac:dyDescent="0.3">
      <c r="G35" s="20" t="s">
        <v>180</v>
      </c>
      <c r="H35" s="20" t="s">
        <v>136</v>
      </c>
    </row>
    <row r="36" spans="7:8" x14ac:dyDescent="0.3">
      <c r="G36" s="20" t="s">
        <v>188</v>
      </c>
      <c r="H36" s="20" t="s">
        <v>143</v>
      </c>
    </row>
    <row r="37" spans="7:8" x14ac:dyDescent="0.3">
      <c r="G37" s="20" t="s">
        <v>196</v>
      </c>
      <c r="H37" s="20" t="s">
        <v>150</v>
      </c>
    </row>
    <row r="38" spans="7:8" x14ac:dyDescent="0.3">
      <c r="G38" s="20" t="s">
        <v>204</v>
      </c>
      <c r="H38" s="20" t="s">
        <v>157</v>
      </c>
    </row>
    <row r="39" spans="7:8" x14ac:dyDescent="0.3">
      <c r="G39" s="20" t="s">
        <v>210</v>
      </c>
      <c r="H39" s="20" t="s">
        <v>165</v>
      </c>
    </row>
    <row r="40" spans="7:8" x14ac:dyDescent="0.3">
      <c r="G40" s="20" t="s">
        <v>87</v>
      </c>
      <c r="H40" s="20" t="s">
        <v>173</v>
      </c>
    </row>
    <row r="41" spans="7:8" x14ac:dyDescent="0.3">
      <c r="G41" s="20" t="s">
        <v>90</v>
      </c>
      <c r="H41" s="20" t="s">
        <v>181</v>
      </c>
    </row>
    <row r="42" spans="7:8" x14ac:dyDescent="0.3">
      <c r="G42" s="20" t="s">
        <v>95</v>
      </c>
      <c r="H42" s="20" t="s">
        <v>189</v>
      </c>
    </row>
    <row r="43" spans="7:8" x14ac:dyDescent="0.3">
      <c r="G43" s="20" t="s">
        <v>102</v>
      </c>
      <c r="H43" s="20" t="s">
        <v>197</v>
      </c>
    </row>
    <row r="44" spans="7:8" x14ac:dyDescent="0.3">
      <c r="G44" s="20" t="s">
        <v>109</v>
      </c>
      <c r="H44" s="20" t="s">
        <v>205</v>
      </c>
    </row>
    <row r="45" spans="7:8" x14ac:dyDescent="0.3">
      <c r="G45" s="20" t="s">
        <v>116</v>
      </c>
      <c r="H45" s="20" t="s">
        <v>264</v>
      </c>
    </row>
    <row r="46" spans="7:8" x14ac:dyDescent="0.3">
      <c r="G46" s="20" t="s">
        <v>123</v>
      </c>
      <c r="H46" s="20" t="s">
        <v>269</v>
      </c>
    </row>
    <row r="47" spans="7:8" x14ac:dyDescent="0.3">
      <c r="G47" s="20" t="s">
        <v>130</v>
      </c>
      <c r="H47" s="20" t="s">
        <v>274</v>
      </c>
    </row>
    <row r="48" spans="7:8" x14ac:dyDescent="0.3">
      <c r="G48" s="20" t="s">
        <v>137</v>
      </c>
      <c r="H48" s="20" t="s">
        <v>279</v>
      </c>
    </row>
    <row r="49" spans="7:8" x14ac:dyDescent="0.3">
      <c r="G49" s="20" t="s">
        <v>144</v>
      </c>
      <c r="H49" s="20" t="s">
        <v>284</v>
      </c>
    </row>
    <row r="50" spans="7:8" x14ac:dyDescent="0.3">
      <c r="G50" s="20" t="s">
        <v>151</v>
      </c>
      <c r="H50" s="20" t="s">
        <v>289</v>
      </c>
    </row>
    <row r="51" spans="7:8" x14ac:dyDescent="0.3">
      <c r="G51" s="20" t="s">
        <v>158</v>
      </c>
      <c r="H51" s="20" t="s">
        <v>57</v>
      </c>
    </row>
    <row r="52" spans="7:8" x14ac:dyDescent="0.3">
      <c r="G52" s="20" t="s">
        <v>166</v>
      </c>
      <c r="H52" s="20" t="s">
        <v>30</v>
      </c>
    </row>
    <row r="53" spans="7:8" x14ac:dyDescent="0.3">
      <c r="G53" s="20" t="s">
        <v>174</v>
      </c>
      <c r="H53" s="20" t="s">
        <v>50</v>
      </c>
    </row>
    <row r="54" spans="7:8" x14ac:dyDescent="0.3">
      <c r="G54" s="20" t="s">
        <v>182</v>
      </c>
      <c r="H54" s="20" t="s">
        <v>96</v>
      </c>
    </row>
    <row r="55" spans="7:8" x14ac:dyDescent="0.3">
      <c r="G55" s="20" t="s">
        <v>190</v>
      </c>
      <c r="H55" s="20" t="s">
        <v>103</v>
      </c>
    </row>
    <row r="56" spans="7:8" x14ac:dyDescent="0.3">
      <c r="G56" s="20" t="s">
        <v>198</v>
      </c>
      <c r="H56" s="20" t="s">
        <v>110</v>
      </c>
    </row>
    <row r="57" spans="7:8" x14ac:dyDescent="0.3">
      <c r="G57" s="20" t="s">
        <v>206</v>
      </c>
      <c r="H57" s="20" t="s">
        <v>117</v>
      </c>
    </row>
    <row r="58" spans="7:8" x14ac:dyDescent="0.3">
      <c r="G58" s="20" t="s">
        <v>211</v>
      </c>
      <c r="H58" s="20" t="s">
        <v>124</v>
      </c>
    </row>
    <row r="59" spans="7:8" x14ac:dyDescent="0.3">
      <c r="G59" s="20" t="s">
        <v>212</v>
      </c>
      <c r="H59" s="20" t="s">
        <v>131</v>
      </c>
    </row>
    <row r="60" spans="7:8" x14ac:dyDescent="0.3">
      <c r="G60" s="20" t="s">
        <v>213</v>
      </c>
      <c r="H60" s="20" t="s">
        <v>138</v>
      </c>
    </row>
    <row r="61" spans="7:8" x14ac:dyDescent="0.3">
      <c r="G61" s="20" t="s">
        <v>88</v>
      </c>
      <c r="H61" s="20" t="s">
        <v>145</v>
      </c>
    </row>
    <row r="62" spans="7:8" x14ac:dyDescent="0.3">
      <c r="G62" s="20" t="s">
        <v>91</v>
      </c>
      <c r="H62" s="20" t="s">
        <v>152</v>
      </c>
    </row>
    <row r="63" spans="7:8" x14ac:dyDescent="0.3">
      <c r="G63" s="20" t="s">
        <v>97</v>
      </c>
      <c r="H63" s="20" t="s">
        <v>159</v>
      </c>
    </row>
    <row r="64" spans="7:8" x14ac:dyDescent="0.3">
      <c r="G64" s="20" t="s">
        <v>104</v>
      </c>
      <c r="H64" s="20" t="s">
        <v>167</v>
      </c>
    </row>
    <row r="65" spans="7:8" x14ac:dyDescent="0.3">
      <c r="G65" s="20" t="s">
        <v>111</v>
      </c>
      <c r="H65" s="20" t="s">
        <v>175</v>
      </c>
    </row>
    <row r="66" spans="7:8" x14ac:dyDescent="0.3">
      <c r="G66" s="20" t="s">
        <v>118</v>
      </c>
      <c r="H66" s="20" t="s">
        <v>183</v>
      </c>
    </row>
    <row r="67" spans="7:8" x14ac:dyDescent="0.3">
      <c r="G67" s="20" t="s">
        <v>125</v>
      </c>
      <c r="H67" s="20" t="s">
        <v>191</v>
      </c>
    </row>
    <row r="68" spans="7:8" x14ac:dyDescent="0.3">
      <c r="G68" s="20" t="s">
        <v>132</v>
      </c>
      <c r="H68" s="20" t="s">
        <v>199</v>
      </c>
    </row>
    <row r="69" spans="7:8" x14ac:dyDescent="0.3">
      <c r="G69" s="20" t="s">
        <v>139</v>
      </c>
      <c r="H69" s="20" t="s">
        <v>207</v>
      </c>
    </row>
    <row r="70" spans="7:8" x14ac:dyDescent="0.3">
      <c r="G70" s="20" t="s">
        <v>146</v>
      </c>
      <c r="H70" s="20" t="s">
        <v>265</v>
      </c>
    </row>
    <row r="71" spans="7:8" x14ac:dyDescent="0.3">
      <c r="G71" s="20" t="s">
        <v>153</v>
      </c>
      <c r="H71" s="20" t="s">
        <v>270</v>
      </c>
    </row>
    <row r="72" spans="7:8" x14ac:dyDescent="0.3">
      <c r="G72" s="20" t="s">
        <v>160</v>
      </c>
      <c r="H72" s="20" t="s">
        <v>275</v>
      </c>
    </row>
    <row r="73" spans="7:8" x14ac:dyDescent="0.3">
      <c r="G73" s="20" t="s">
        <v>168</v>
      </c>
      <c r="H73" s="20" t="s">
        <v>280</v>
      </c>
    </row>
    <row r="74" spans="7:8" x14ac:dyDescent="0.3">
      <c r="G74" s="20" t="s">
        <v>176</v>
      </c>
      <c r="H74" s="20" t="s">
        <v>285</v>
      </c>
    </row>
    <row r="75" spans="7:8" x14ac:dyDescent="0.3">
      <c r="G75" s="20" t="s">
        <v>184</v>
      </c>
      <c r="H75" s="20" t="s">
        <v>290</v>
      </c>
    </row>
    <row r="76" spans="7:8" x14ac:dyDescent="0.3">
      <c r="G76" s="20" t="s">
        <v>192</v>
      </c>
      <c r="H76" s="20" t="s">
        <v>31</v>
      </c>
    </row>
    <row r="77" spans="7:8" x14ac:dyDescent="0.3">
      <c r="G77" s="20" t="s">
        <v>200</v>
      </c>
      <c r="H77" s="20" t="s">
        <v>32</v>
      </c>
    </row>
    <row r="78" spans="7:8" x14ac:dyDescent="0.3">
      <c r="G78" s="20" t="s">
        <v>208</v>
      </c>
      <c r="H78" s="20" t="s">
        <v>33</v>
      </c>
    </row>
    <row r="79" spans="7:8" x14ac:dyDescent="0.3">
      <c r="G79" s="20" t="s">
        <v>245</v>
      </c>
      <c r="H79" s="20" t="s">
        <v>215</v>
      </c>
    </row>
    <row r="80" spans="7:8" x14ac:dyDescent="0.3">
      <c r="G80" s="20" t="s">
        <v>246</v>
      </c>
      <c r="H80" s="20" t="s">
        <v>216</v>
      </c>
    </row>
    <row r="81" spans="7:8" x14ac:dyDescent="0.3">
      <c r="G81" s="20" t="s">
        <v>247</v>
      </c>
      <c r="H81" s="20" t="s">
        <v>217</v>
      </c>
    </row>
    <row r="82" spans="7:8" x14ac:dyDescent="0.3">
      <c r="G82" s="20" t="s">
        <v>248</v>
      </c>
      <c r="H82" s="20" t="s">
        <v>218</v>
      </c>
    </row>
    <row r="83" spans="7:8" x14ac:dyDescent="0.3">
      <c r="G83" s="20" t="s">
        <v>249</v>
      </c>
      <c r="H83" s="20" t="s">
        <v>219</v>
      </c>
    </row>
    <row r="84" spans="7:8" x14ac:dyDescent="0.3">
      <c r="G84" s="20" t="s">
        <v>250</v>
      </c>
      <c r="H84" s="20" t="s">
        <v>220</v>
      </c>
    </row>
    <row r="85" spans="7:8" x14ac:dyDescent="0.3">
      <c r="G85" s="20" t="s">
        <v>251</v>
      </c>
      <c r="H85" s="20" t="s">
        <v>233</v>
      </c>
    </row>
    <row r="86" spans="7:8" x14ac:dyDescent="0.3">
      <c r="G86" s="20" t="s">
        <v>252</v>
      </c>
      <c r="H86" s="20" t="s">
        <v>234</v>
      </c>
    </row>
    <row r="87" spans="7:8" x14ac:dyDescent="0.3">
      <c r="G87" s="20" t="s">
        <v>253</v>
      </c>
      <c r="H87" s="20" t="s">
        <v>235</v>
      </c>
    </row>
    <row r="88" spans="7:8" x14ac:dyDescent="0.3">
      <c r="G88" s="20" t="s">
        <v>254</v>
      </c>
      <c r="H88" s="20" t="s">
        <v>236</v>
      </c>
    </row>
    <row r="89" spans="7:8" x14ac:dyDescent="0.3">
      <c r="G89" s="20" t="s">
        <v>255</v>
      </c>
      <c r="H89" s="20" t="s">
        <v>237</v>
      </c>
    </row>
    <row r="90" spans="7:8" x14ac:dyDescent="0.3">
      <c r="G90" s="20" t="s">
        <v>256</v>
      </c>
      <c r="H90" s="20" t="s">
        <v>238</v>
      </c>
    </row>
    <row r="91" spans="7:8" x14ac:dyDescent="0.3">
      <c r="G91" s="20" t="s">
        <v>257</v>
      </c>
      <c r="H91" s="20" t="s">
        <v>239</v>
      </c>
    </row>
    <row r="92" spans="7:8" x14ac:dyDescent="0.3">
      <c r="G92" s="20" t="s">
        <v>258</v>
      </c>
      <c r="H92" s="20" t="s">
        <v>240</v>
      </c>
    </row>
    <row r="93" spans="7:8" x14ac:dyDescent="0.3">
      <c r="G93" s="20" t="s">
        <v>259</v>
      </c>
      <c r="H93" s="20" t="s">
        <v>241</v>
      </c>
    </row>
    <row r="94" spans="7:8" x14ac:dyDescent="0.3">
      <c r="G94" s="20" t="s">
        <v>260</v>
      </c>
      <c r="H94" s="20" t="s">
        <v>242</v>
      </c>
    </row>
    <row r="95" spans="7:8" x14ac:dyDescent="0.3">
      <c r="G95" s="20" t="s">
        <v>261</v>
      </c>
      <c r="H95" s="20" t="s">
        <v>243</v>
      </c>
    </row>
    <row r="96" spans="7:8" x14ac:dyDescent="0.3">
      <c r="G96" s="20" t="s">
        <v>262</v>
      </c>
      <c r="H96" s="20" t="s">
        <v>244</v>
      </c>
    </row>
    <row r="97" spans="7:8" x14ac:dyDescent="0.3">
      <c r="G97" s="20" t="s">
        <v>266</v>
      </c>
      <c r="H97" s="20" t="s">
        <v>267</v>
      </c>
    </row>
    <row r="98" spans="7:8" x14ac:dyDescent="0.3">
      <c r="G98" s="20" t="s">
        <v>271</v>
      </c>
      <c r="H98" s="20" t="s">
        <v>272</v>
      </c>
    </row>
    <row r="99" spans="7:8" x14ac:dyDescent="0.3">
      <c r="G99" s="20" t="s">
        <v>276</v>
      </c>
      <c r="H99" s="20" t="s">
        <v>277</v>
      </c>
    </row>
    <row r="100" spans="7:8" x14ac:dyDescent="0.3">
      <c r="G100" s="20" t="s">
        <v>281</v>
      </c>
      <c r="H100" s="20" t="s">
        <v>282</v>
      </c>
    </row>
    <row r="101" spans="7:8" x14ac:dyDescent="0.3">
      <c r="G101" s="20" t="s">
        <v>286</v>
      </c>
      <c r="H101" s="20" t="s">
        <v>287</v>
      </c>
    </row>
    <row r="102" spans="7:8" x14ac:dyDescent="0.3">
      <c r="G102" s="20" t="s">
        <v>291</v>
      </c>
      <c r="H102" s="20" t="s">
        <v>292</v>
      </c>
    </row>
    <row r="103" spans="7:8" x14ac:dyDescent="0.3">
      <c r="G103" s="20" t="s">
        <v>293</v>
      </c>
      <c r="H103" s="20" t="s">
        <v>221</v>
      </c>
    </row>
    <row r="104" spans="7:8" x14ac:dyDescent="0.3">
      <c r="G104" s="20" t="s">
        <v>294</v>
      </c>
      <c r="H104" s="20" t="s">
        <v>222</v>
      </c>
    </row>
    <row r="105" spans="7:8" x14ac:dyDescent="0.3">
      <c r="G105" s="20" t="s">
        <v>295</v>
      </c>
      <c r="H105" s="20" t="s">
        <v>223</v>
      </c>
    </row>
    <row r="106" spans="7:8" x14ac:dyDescent="0.3">
      <c r="G106" s="20" t="s">
        <v>296</v>
      </c>
      <c r="H106" s="20" t="s">
        <v>224</v>
      </c>
    </row>
    <row r="107" spans="7:8" x14ac:dyDescent="0.3">
      <c r="G107" s="20" t="s">
        <v>297</v>
      </c>
      <c r="H107" s="20" t="s">
        <v>225</v>
      </c>
    </row>
    <row r="108" spans="7:8" x14ac:dyDescent="0.3">
      <c r="G108" s="20" t="s">
        <v>298</v>
      </c>
      <c r="H108" s="20" t="s">
        <v>226</v>
      </c>
    </row>
    <row r="109" spans="7:8" x14ac:dyDescent="0.3">
      <c r="G109" s="20" t="s">
        <v>299</v>
      </c>
      <c r="H109" s="20" t="s">
        <v>227</v>
      </c>
    </row>
    <row r="110" spans="7:8" x14ac:dyDescent="0.3">
      <c r="G110" s="20" t="s">
        <v>300</v>
      </c>
      <c r="H110" s="20" t="s">
        <v>228</v>
      </c>
    </row>
    <row r="111" spans="7:8" x14ac:dyDescent="0.3">
      <c r="G111" s="20" t="s">
        <v>301</v>
      </c>
      <c r="H111" s="20" t="s">
        <v>229</v>
      </c>
    </row>
    <row r="112" spans="7:8" x14ac:dyDescent="0.3">
      <c r="G112" s="20" t="s">
        <v>302</v>
      </c>
      <c r="H112" s="20" t="s">
        <v>230</v>
      </c>
    </row>
    <row r="113" spans="7:7" x14ac:dyDescent="0.3">
      <c r="G113" s="20" t="s">
        <v>51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"/>
  <dimension ref="A1:Y79"/>
  <sheetViews>
    <sheetView topLeftCell="D1" workbookViewId="0">
      <selection activeCell="U36" sqref="U36"/>
    </sheetView>
  </sheetViews>
  <sheetFormatPr baseColWidth="10" defaultColWidth="9.109375" defaultRowHeight="14.4" x14ac:dyDescent="0.3"/>
  <cols>
    <col min="1" max="5" width="9.109375" style="20"/>
    <col min="6" max="6" width="19.109375" style="20" customWidth="1"/>
    <col min="7" max="11" width="9.109375" style="20"/>
    <col min="12" max="12" width="19.77734375" style="20" bestFit="1" customWidth="1"/>
    <col min="13" max="20" width="9.109375" style="20"/>
    <col min="21" max="21" width="12" style="20" bestFit="1" customWidth="1"/>
    <col min="22" max="16384" width="9.109375" style="20"/>
  </cols>
  <sheetData>
    <row r="1" spans="1:25" x14ac:dyDescent="0.3">
      <c r="A1" s="24" t="s">
        <v>26</v>
      </c>
    </row>
    <row r="2" spans="1:25" x14ac:dyDescent="0.3">
      <c r="A2" s="20" t="s">
        <v>7</v>
      </c>
      <c r="E2" s="22" t="s">
        <v>21</v>
      </c>
      <c r="X2" s="33" t="s">
        <v>35</v>
      </c>
    </row>
    <row r="3" spans="1:25" x14ac:dyDescent="0.3">
      <c r="A3" s="20" t="s">
        <v>8</v>
      </c>
      <c r="B3" s="25">
        <v>0</v>
      </c>
      <c r="C3" s="20" t="s">
        <v>9</v>
      </c>
      <c r="E3" s="20" t="s">
        <v>10</v>
      </c>
      <c r="F3" s="32">
        <f>L3</f>
        <v>30</v>
      </c>
      <c r="I3" s="22"/>
      <c r="J3" s="20">
        <v>1</v>
      </c>
      <c r="K3" s="22" t="s">
        <v>15</v>
      </c>
      <c r="L3" s="41">
        <v>30</v>
      </c>
      <c r="M3" s="22" t="str">
        <f>SUBSTITUTE(CONCATENATE("PROPS(",J3,")=DBLE(",L3,")"),",",".")</f>
        <v>PROPS(1)=DBLE(30)</v>
      </c>
      <c r="N3" s="22"/>
      <c r="O3" s="38"/>
      <c r="R3" s="24" t="s">
        <v>23</v>
      </c>
      <c r="V3" s="25">
        <v>18</v>
      </c>
      <c r="X3" s="33" t="s">
        <v>27</v>
      </c>
      <c r="Y3" s="20" t="s">
        <v>28</v>
      </c>
    </row>
    <row r="4" spans="1:25" x14ac:dyDescent="0.3">
      <c r="A4" s="21" t="s">
        <v>14</v>
      </c>
      <c r="B4" s="25">
        <v>800</v>
      </c>
      <c r="E4" s="20" t="s">
        <v>11</v>
      </c>
      <c r="F4" s="32">
        <f t="shared" ref="F4:F8" si="0">L4</f>
        <v>10</v>
      </c>
      <c r="I4" s="22"/>
      <c r="J4" s="20">
        <v>2</v>
      </c>
      <c r="K4" s="22" t="s">
        <v>16</v>
      </c>
      <c r="L4" s="41">
        <v>10</v>
      </c>
      <c r="M4" s="22" t="str">
        <f t="shared" ref="M4:M9" si="1">SUBSTITUTE(CONCATENATE("PROPS(",J4,")=DBLE(",L4,")"),",",".")</f>
        <v>PROPS(2)=DBLE(10)</v>
      </c>
      <c r="N4" s="22"/>
      <c r="O4" s="39"/>
      <c r="R4" s="24" t="s">
        <v>24</v>
      </c>
      <c r="V4" s="25">
        <v>1</v>
      </c>
      <c r="X4" s="20" t="s">
        <v>37</v>
      </c>
      <c r="Y4" s="20" t="s">
        <v>38</v>
      </c>
    </row>
    <row r="5" spans="1:25" x14ac:dyDescent="0.3">
      <c r="E5" s="20" t="s">
        <v>17</v>
      </c>
      <c r="F5" s="32">
        <f t="shared" si="0"/>
        <v>0.9</v>
      </c>
      <c r="I5" s="23"/>
      <c r="J5" s="20">
        <v>3</v>
      </c>
      <c r="K5" s="35" t="s">
        <v>58</v>
      </c>
      <c r="L5" s="41">
        <v>0.9</v>
      </c>
      <c r="M5" s="22" t="str">
        <f t="shared" si="1"/>
        <v>PROPS(3)=DBLE(0.9)</v>
      </c>
      <c r="O5" s="36"/>
      <c r="R5" s="24" t="s">
        <v>25</v>
      </c>
      <c r="V5" s="25">
        <v>1</v>
      </c>
      <c r="X5" s="20" t="s">
        <v>42</v>
      </c>
      <c r="Y5" s="20" t="s">
        <v>92</v>
      </c>
    </row>
    <row r="6" spans="1:25" x14ac:dyDescent="0.3">
      <c r="E6" s="20" t="s">
        <v>18</v>
      </c>
      <c r="F6" s="32">
        <f t="shared" si="0"/>
        <v>0.05</v>
      </c>
      <c r="J6" s="20">
        <v>4</v>
      </c>
      <c r="K6" s="35" t="s">
        <v>59</v>
      </c>
      <c r="L6" s="41">
        <v>0.05</v>
      </c>
      <c r="M6" s="22" t="str">
        <f t="shared" si="1"/>
        <v>PROPS(4)=DBLE(0.05)</v>
      </c>
      <c r="O6" s="36"/>
      <c r="R6" s="24" t="s">
        <v>22</v>
      </c>
      <c r="V6" s="26">
        <f>2*V3+IF(V4&lt;&gt;0,V3*2+V4*2+1,0)+V5</f>
        <v>76</v>
      </c>
      <c r="X6" s="20" t="s">
        <v>44</v>
      </c>
      <c r="Y6" s="20" t="s">
        <v>99</v>
      </c>
    </row>
    <row r="7" spans="1:25" x14ac:dyDescent="0.3">
      <c r="E7" s="20" t="s">
        <v>19</v>
      </c>
      <c r="F7" s="32">
        <f t="shared" si="0"/>
        <v>1.7</v>
      </c>
      <c r="J7" s="20">
        <v>5</v>
      </c>
      <c r="K7" s="35" t="s">
        <v>60</v>
      </c>
      <c r="L7" s="41">
        <v>1.7</v>
      </c>
      <c r="M7" s="22" t="str">
        <f t="shared" si="1"/>
        <v>PROPS(5)=DBLE(1.7)</v>
      </c>
      <c r="X7" s="20" t="s">
        <v>46</v>
      </c>
      <c r="Y7" s="20" t="s">
        <v>106</v>
      </c>
    </row>
    <row r="8" spans="1:25" x14ac:dyDescent="0.3">
      <c r="E8" s="20" t="s">
        <v>20</v>
      </c>
      <c r="F8" s="32">
        <f t="shared" si="0"/>
        <v>10.000000000000002</v>
      </c>
      <c r="J8" s="20">
        <v>6</v>
      </c>
      <c r="K8" s="22" t="s">
        <v>61</v>
      </c>
      <c r="L8" s="41">
        <f>(COS(RADIANS(L14))^2)/$L$6</f>
        <v>10.000000000000002</v>
      </c>
      <c r="M8" s="22" t="str">
        <f t="shared" si="1"/>
        <v>PROPS(6)=DBLE(10)</v>
      </c>
      <c r="W8" s="33"/>
      <c r="X8" s="20" t="s">
        <v>48</v>
      </c>
      <c r="Y8" s="20" t="s">
        <v>113</v>
      </c>
    </row>
    <row r="9" spans="1:25" x14ac:dyDescent="0.3">
      <c r="J9" s="20">
        <v>7</v>
      </c>
      <c r="K9" s="35" t="s">
        <v>62</v>
      </c>
      <c r="L9" s="41">
        <f>(SIN(RADIANS(L14))^2)/$L$6</f>
        <v>9.9999999999999964</v>
      </c>
      <c r="M9" s="22" t="str">
        <f t="shared" si="1"/>
        <v>PROPS(7)=DBLE(10)</v>
      </c>
      <c r="W9" s="33"/>
      <c r="X9" s="20" t="s">
        <v>36</v>
      </c>
      <c r="Y9" s="20" t="s">
        <v>120</v>
      </c>
    </row>
    <row r="10" spans="1:25" x14ac:dyDescent="0.3">
      <c r="W10" s="33"/>
      <c r="X10" s="20" t="s">
        <v>39</v>
      </c>
      <c r="Y10" s="20" t="s">
        <v>127</v>
      </c>
    </row>
    <row r="11" spans="1:25" x14ac:dyDescent="0.3">
      <c r="W11" s="33"/>
      <c r="X11" s="20" t="s">
        <v>43</v>
      </c>
      <c r="Y11" s="20" t="s">
        <v>134</v>
      </c>
    </row>
    <row r="12" spans="1:25" x14ac:dyDescent="0.3">
      <c r="K12" s="37" t="s">
        <v>63</v>
      </c>
      <c r="W12" s="33"/>
      <c r="X12" s="20" t="s">
        <v>45</v>
      </c>
      <c r="Y12" s="20" t="s">
        <v>141</v>
      </c>
    </row>
    <row r="13" spans="1:25" x14ac:dyDescent="0.3">
      <c r="W13" s="33"/>
      <c r="X13" s="20" t="s">
        <v>47</v>
      </c>
      <c r="Y13" s="20" t="s">
        <v>148</v>
      </c>
    </row>
    <row r="14" spans="1:25" x14ac:dyDescent="0.3">
      <c r="K14" s="40" t="s">
        <v>64</v>
      </c>
      <c r="L14" s="20">
        <v>45</v>
      </c>
      <c r="M14" s="42" t="s">
        <v>80</v>
      </c>
      <c r="W14" s="33"/>
      <c r="X14" s="20" t="s">
        <v>49</v>
      </c>
      <c r="Y14" s="20" t="s">
        <v>155</v>
      </c>
    </row>
    <row r="15" spans="1:25" x14ac:dyDescent="0.3">
      <c r="P15" s="27"/>
      <c r="Q15" s="28"/>
      <c r="R15" s="27"/>
      <c r="S15" s="29"/>
      <c r="T15" s="27"/>
      <c r="U15" s="27"/>
      <c r="V15" s="29"/>
      <c r="W15" s="33"/>
      <c r="X15" s="20" t="s">
        <v>162</v>
      </c>
      <c r="Y15" s="20" t="s">
        <v>163</v>
      </c>
    </row>
    <row r="16" spans="1:25" x14ac:dyDescent="0.3">
      <c r="K16" s="42" t="s">
        <v>81</v>
      </c>
      <c r="L16" s="20">
        <v>1</v>
      </c>
      <c r="P16" s="27"/>
      <c r="Q16" s="28"/>
      <c r="R16" s="27"/>
      <c r="S16" s="29"/>
      <c r="T16" s="28"/>
      <c r="U16" s="27"/>
      <c r="V16" s="30"/>
      <c r="X16" s="20" t="s">
        <v>170</v>
      </c>
      <c r="Y16" s="20" t="s">
        <v>171</v>
      </c>
    </row>
    <row r="17" spans="10:25" x14ac:dyDescent="0.3">
      <c r="P17" s="31"/>
      <c r="Q17" s="28"/>
      <c r="R17" s="27"/>
      <c r="S17" s="29"/>
      <c r="T17" s="28"/>
      <c r="U17" s="28"/>
      <c r="V17" s="28"/>
      <c r="X17" s="20" t="s">
        <v>178</v>
      </c>
      <c r="Y17" s="20" t="s">
        <v>179</v>
      </c>
    </row>
    <row r="18" spans="10:25" x14ac:dyDescent="0.3">
      <c r="P18" s="28"/>
      <c r="Q18" s="28"/>
      <c r="R18" s="27"/>
      <c r="S18" s="30"/>
      <c r="T18" s="28"/>
      <c r="U18" s="28"/>
      <c r="V18" s="28"/>
      <c r="X18" s="20" t="s">
        <v>186</v>
      </c>
      <c r="Y18" s="20" t="s">
        <v>187</v>
      </c>
    </row>
    <row r="19" spans="10:25" x14ac:dyDescent="0.3">
      <c r="J19" s="20">
        <v>1</v>
      </c>
      <c r="K19" s="22" t="s">
        <v>15</v>
      </c>
      <c r="L19" s="41">
        <v>30</v>
      </c>
      <c r="M19" s="42" t="s">
        <v>82</v>
      </c>
      <c r="P19" s="28"/>
      <c r="Q19" s="28"/>
      <c r="R19" s="27"/>
      <c r="S19" s="30"/>
      <c r="T19" s="28"/>
      <c r="U19" s="28"/>
      <c r="V19" s="28"/>
      <c r="X19" s="20" t="s">
        <v>194</v>
      </c>
      <c r="Y19" s="20" t="s">
        <v>195</v>
      </c>
    </row>
    <row r="20" spans="10:25" x14ac:dyDescent="0.3">
      <c r="J20" s="20">
        <v>2</v>
      </c>
      <c r="K20" s="22" t="s">
        <v>16</v>
      </c>
      <c r="L20" s="41">
        <v>10</v>
      </c>
      <c r="M20" s="42" t="s">
        <v>82</v>
      </c>
      <c r="P20" s="28"/>
      <c r="Q20" s="28"/>
      <c r="R20" s="27"/>
      <c r="S20" s="29"/>
      <c r="T20" s="28"/>
      <c r="U20" s="28"/>
      <c r="V20" s="28"/>
      <c r="X20" s="20" t="s">
        <v>202</v>
      </c>
      <c r="Y20" s="20" t="s">
        <v>203</v>
      </c>
    </row>
    <row r="21" spans="10:25" x14ac:dyDescent="0.3">
      <c r="J21" s="20">
        <v>3</v>
      </c>
      <c r="K21" s="42" t="s">
        <v>65</v>
      </c>
      <c r="L21" s="41">
        <v>7</v>
      </c>
      <c r="M21" s="42" t="s">
        <v>82</v>
      </c>
      <c r="P21" s="28"/>
      <c r="Q21" s="28"/>
      <c r="R21" s="28"/>
      <c r="S21" s="28"/>
      <c r="T21" s="28"/>
      <c r="U21" s="28"/>
      <c r="V21" s="28"/>
      <c r="X21" s="20" t="s">
        <v>86</v>
      </c>
      <c r="Y21" s="20" t="s">
        <v>29</v>
      </c>
    </row>
    <row r="22" spans="10:25" x14ac:dyDescent="0.3">
      <c r="J22" s="20">
        <v>4</v>
      </c>
      <c r="K22" s="42" t="s">
        <v>66</v>
      </c>
      <c r="L22" s="41">
        <v>9.9999999999999995E-7</v>
      </c>
      <c r="M22" s="42" t="s">
        <v>82</v>
      </c>
      <c r="X22" s="20" t="s">
        <v>89</v>
      </c>
      <c r="Y22" s="20" t="s">
        <v>40</v>
      </c>
    </row>
    <row r="23" spans="10:25" x14ac:dyDescent="0.3">
      <c r="J23" s="20">
        <v>5</v>
      </c>
      <c r="K23" s="42" t="s">
        <v>67</v>
      </c>
      <c r="L23" s="41">
        <f>L20/L35</f>
        <v>8.3333333333333339</v>
      </c>
      <c r="M23" s="42" t="s">
        <v>82</v>
      </c>
      <c r="R23" s="34"/>
      <c r="X23" s="20" t="s">
        <v>93</v>
      </c>
      <c r="Y23" s="20" t="s">
        <v>94</v>
      </c>
    </row>
    <row r="24" spans="10:25" x14ac:dyDescent="0.3">
      <c r="J24" s="20">
        <v>6</v>
      </c>
      <c r="K24" s="42" t="s">
        <v>68</v>
      </c>
      <c r="L24" s="41">
        <f>L23</f>
        <v>8.3333333333333339</v>
      </c>
      <c r="M24" s="42" t="s">
        <v>82</v>
      </c>
      <c r="X24" s="20" t="s">
        <v>100</v>
      </c>
      <c r="Y24" s="20" t="s">
        <v>101</v>
      </c>
    </row>
    <row r="25" spans="10:25" x14ac:dyDescent="0.3">
      <c r="J25" s="20">
        <v>7</v>
      </c>
      <c r="K25" s="42" t="s">
        <v>69</v>
      </c>
      <c r="L25" s="41">
        <v>0.85</v>
      </c>
      <c r="M25" s="42" t="s">
        <v>85</v>
      </c>
      <c r="X25" s="20" t="s">
        <v>107</v>
      </c>
      <c r="Y25" s="20" t="s">
        <v>108</v>
      </c>
    </row>
    <row r="26" spans="10:25" x14ac:dyDescent="0.3">
      <c r="J26" s="20">
        <f>J25+1</f>
        <v>8</v>
      </c>
      <c r="K26" s="42" t="s">
        <v>70</v>
      </c>
      <c r="L26" s="41">
        <v>0.92</v>
      </c>
      <c r="M26" s="42" t="s">
        <v>85</v>
      </c>
      <c r="X26" s="20" t="s">
        <v>114</v>
      </c>
      <c r="Y26" s="20" t="s">
        <v>115</v>
      </c>
    </row>
    <row r="27" spans="10:25" x14ac:dyDescent="0.3">
      <c r="J27" s="20">
        <f t="shared" ref="J27:J37" si="2">J26+1</f>
        <v>9</v>
      </c>
      <c r="K27" s="42" t="s">
        <v>71</v>
      </c>
      <c r="L27" s="41">
        <v>1</v>
      </c>
      <c r="M27" s="42" t="s">
        <v>85</v>
      </c>
      <c r="X27" s="20" t="s">
        <v>121</v>
      </c>
      <c r="Y27" s="20" t="s">
        <v>122</v>
      </c>
    </row>
    <row r="28" spans="10:25" x14ac:dyDescent="0.3">
      <c r="J28" s="20">
        <f t="shared" si="2"/>
        <v>10</v>
      </c>
      <c r="K28" s="37" t="s">
        <v>72</v>
      </c>
      <c r="L28" s="41">
        <v>1</v>
      </c>
      <c r="M28" s="42" t="s">
        <v>83</v>
      </c>
      <c r="X28" s="20" t="s">
        <v>128</v>
      </c>
      <c r="Y28" s="20" t="s">
        <v>129</v>
      </c>
    </row>
    <row r="29" spans="10:25" x14ac:dyDescent="0.3">
      <c r="J29" s="20">
        <f t="shared" si="2"/>
        <v>11</v>
      </c>
      <c r="K29" s="42" t="s">
        <v>59</v>
      </c>
      <c r="L29" s="41">
        <v>0.05</v>
      </c>
      <c r="M29" s="42" t="s">
        <v>82</v>
      </c>
      <c r="X29" s="20" t="s">
        <v>135</v>
      </c>
      <c r="Y29" s="20" t="s">
        <v>136</v>
      </c>
    </row>
    <row r="30" spans="10:25" x14ac:dyDescent="0.3">
      <c r="J30" s="20">
        <f t="shared" si="2"/>
        <v>12</v>
      </c>
      <c r="K30" s="42" t="s">
        <v>60</v>
      </c>
      <c r="L30" s="41">
        <v>1.7</v>
      </c>
      <c r="M30" s="42" t="s">
        <v>85</v>
      </c>
      <c r="X30" s="20" t="s">
        <v>142</v>
      </c>
      <c r="Y30" s="20" t="s">
        <v>143</v>
      </c>
    </row>
    <row r="31" spans="10:25" x14ac:dyDescent="0.3">
      <c r="J31" s="20">
        <f t="shared" si="2"/>
        <v>13</v>
      </c>
      <c r="K31" s="42" t="s">
        <v>73</v>
      </c>
      <c r="L31" s="41">
        <f>(COS(RADIANS(L14))^2)/L29</f>
        <v>10.000000000000002</v>
      </c>
      <c r="M31" s="42" t="s">
        <v>84</v>
      </c>
      <c r="X31" s="20" t="s">
        <v>149</v>
      </c>
      <c r="Y31" s="20" t="s">
        <v>150</v>
      </c>
    </row>
    <row r="32" spans="10:25" x14ac:dyDescent="0.3">
      <c r="J32" s="20">
        <f t="shared" si="2"/>
        <v>14</v>
      </c>
      <c r="K32" s="42" t="s">
        <v>74</v>
      </c>
      <c r="L32" s="41">
        <f>(SIN(RADIANS(L14))^2)/L29</f>
        <v>9.9999999999999964</v>
      </c>
      <c r="M32" s="42" t="s">
        <v>84</v>
      </c>
      <c r="X32" s="20" t="s">
        <v>156</v>
      </c>
      <c r="Y32" s="20" t="s">
        <v>157</v>
      </c>
    </row>
    <row r="33" spans="10:25" x14ac:dyDescent="0.3">
      <c r="J33" s="20">
        <f t="shared" si="2"/>
        <v>15</v>
      </c>
      <c r="K33" s="42" t="s">
        <v>75</v>
      </c>
      <c r="L33" s="41">
        <f>6/5</f>
        <v>1.2</v>
      </c>
      <c r="M33" s="42" t="s">
        <v>85</v>
      </c>
      <c r="X33" s="20" t="s">
        <v>164</v>
      </c>
      <c r="Y33" s="20" t="s">
        <v>165</v>
      </c>
    </row>
    <row r="34" spans="10:25" x14ac:dyDescent="0.3">
      <c r="J34" s="20">
        <f t="shared" si="2"/>
        <v>16</v>
      </c>
      <c r="K34" s="42" t="s">
        <v>76</v>
      </c>
      <c r="L34" s="41">
        <f>0.3</f>
        <v>0.3</v>
      </c>
      <c r="M34" s="42" t="s">
        <v>85</v>
      </c>
      <c r="X34" s="20" t="s">
        <v>172</v>
      </c>
      <c r="Y34" s="20" t="s">
        <v>173</v>
      </c>
    </row>
    <row r="35" spans="10:25" x14ac:dyDescent="0.3">
      <c r="J35" s="20">
        <f t="shared" si="2"/>
        <v>17</v>
      </c>
      <c r="K35" s="42" t="s">
        <v>77</v>
      </c>
      <c r="L35" s="41">
        <f>1.2*L16^2</f>
        <v>1.2</v>
      </c>
      <c r="M35" s="42" t="s">
        <v>85</v>
      </c>
      <c r="X35" s="20" t="s">
        <v>180</v>
      </c>
      <c r="Y35" s="20" t="s">
        <v>181</v>
      </c>
    </row>
    <row r="36" spans="10:25" x14ac:dyDescent="0.3">
      <c r="J36" s="20">
        <f t="shared" si="2"/>
        <v>18</v>
      </c>
      <c r="K36" s="42" t="s">
        <v>78</v>
      </c>
      <c r="L36" s="41">
        <f>0.3*L16^2</f>
        <v>0.3</v>
      </c>
      <c r="M36" s="42" t="s">
        <v>85</v>
      </c>
      <c r="X36" s="20" t="s">
        <v>188</v>
      </c>
      <c r="Y36" s="20" t="s">
        <v>189</v>
      </c>
    </row>
    <row r="37" spans="10:25" x14ac:dyDescent="0.3">
      <c r="J37" s="20">
        <f t="shared" si="2"/>
        <v>19</v>
      </c>
      <c r="K37" s="42" t="s">
        <v>79</v>
      </c>
      <c r="L37" s="41">
        <v>0</v>
      </c>
      <c r="X37" s="20" t="s">
        <v>196</v>
      </c>
      <c r="Y37" s="20" t="s">
        <v>197</v>
      </c>
    </row>
    <row r="38" spans="10:25" x14ac:dyDescent="0.3">
      <c r="X38" s="20" t="s">
        <v>204</v>
      </c>
      <c r="Y38" s="20" t="s">
        <v>205</v>
      </c>
    </row>
    <row r="39" spans="10:25" x14ac:dyDescent="0.3">
      <c r="X39" s="20" t="s">
        <v>210</v>
      </c>
      <c r="Y39" s="20" t="s">
        <v>57</v>
      </c>
    </row>
    <row r="40" spans="10:25" x14ac:dyDescent="0.3">
      <c r="X40" s="20" t="s">
        <v>87</v>
      </c>
      <c r="Y40" s="20" t="s">
        <v>30</v>
      </c>
    </row>
    <row r="41" spans="10:25" x14ac:dyDescent="0.3">
      <c r="X41" s="20" t="s">
        <v>90</v>
      </c>
      <c r="Y41" s="20" t="s">
        <v>50</v>
      </c>
    </row>
    <row r="42" spans="10:25" x14ac:dyDescent="0.3">
      <c r="X42" s="20" t="s">
        <v>95</v>
      </c>
      <c r="Y42" s="20" t="s">
        <v>96</v>
      </c>
    </row>
    <row r="43" spans="10:25" x14ac:dyDescent="0.3">
      <c r="X43" s="20" t="s">
        <v>102</v>
      </c>
      <c r="Y43" s="20" t="s">
        <v>103</v>
      </c>
    </row>
    <row r="44" spans="10:25" x14ac:dyDescent="0.3">
      <c r="X44" s="20" t="s">
        <v>109</v>
      </c>
      <c r="Y44" s="20" t="s">
        <v>110</v>
      </c>
    </row>
    <row r="45" spans="10:25" x14ac:dyDescent="0.3">
      <c r="X45" s="20" t="s">
        <v>116</v>
      </c>
      <c r="Y45" s="20" t="s">
        <v>117</v>
      </c>
    </row>
    <row r="46" spans="10:25" x14ac:dyDescent="0.3">
      <c r="X46" s="20" t="s">
        <v>123</v>
      </c>
      <c r="Y46" s="20" t="s">
        <v>124</v>
      </c>
    </row>
    <row r="47" spans="10:25" x14ac:dyDescent="0.3">
      <c r="X47" s="20" t="s">
        <v>130</v>
      </c>
      <c r="Y47" s="20" t="s">
        <v>131</v>
      </c>
    </row>
    <row r="48" spans="10:25" x14ac:dyDescent="0.3">
      <c r="X48" s="20" t="s">
        <v>137</v>
      </c>
      <c r="Y48" s="20" t="s">
        <v>138</v>
      </c>
    </row>
    <row r="49" spans="24:25" x14ac:dyDescent="0.3">
      <c r="X49" s="20" t="s">
        <v>144</v>
      </c>
      <c r="Y49" s="20" t="s">
        <v>145</v>
      </c>
    </row>
    <row r="50" spans="24:25" x14ac:dyDescent="0.3">
      <c r="X50" s="20" t="s">
        <v>151</v>
      </c>
      <c r="Y50" s="20" t="s">
        <v>152</v>
      </c>
    </row>
    <row r="51" spans="24:25" x14ac:dyDescent="0.3">
      <c r="X51" s="20" t="s">
        <v>158</v>
      </c>
      <c r="Y51" s="20" t="s">
        <v>159</v>
      </c>
    </row>
    <row r="52" spans="24:25" x14ac:dyDescent="0.3">
      <c r="X52" s="20" t="s">
        <v>166</v>
      </c>
      <c r="Y52" s="20" t="s">
        <v>167</v>
      </c>
    </row>
    <row r="53" spans="24:25" x14ac:dyDescent="0.3">
      <c r="X53" s="20" t="s">
        <v>174</v>
      </c>
      <c r="Y53" s="20" t="s">
        <v>175</v>
      </c>
    </row>
    <row r="54" spans="24:25" x14ac:dyDescent="0.3">
      <c r="X54" s="20" t="s">
        <v>182</v>
      </c>
      <c r="Y54" s="20" t="s">
        <v>183</v>
      </c>
    </row>
    <row r="55" spans="24:25" x14ac:dyDescent="0.3">
      <c r="X55" s="20" t="s">
        <v>190</v>
      </c>
      <c r="Y55" s="20" t="s">
        <v>191</v>
      </c>
    </row>
    <row r="56" spans="24:25" x14ac:dyDescent="0.3">
      <c r="X56" s="20" t="s">
        <v>198</v>
      </c>
      <c r="Y56" s="20" t="s">
        <v>199</v>
      </c>
    </row>
    <row r="57" spans="24:25" x14ac:dyDescent="0.3">
      <c r="X57" s="20" t="s">
        <v>206</v>
      </c>
      <c r="Y57" s="20" t="s">
        <v>207</v>
      </c>
    </row>
    <row r="58" spans="24:25" x14ac:dyDescent="0.3">
      <c r="X58" s="20" t="s">
        <v>211</v>
      </c>
      <c r="Y58" s="20" t="s">
        <v>31</v>
      </c>
    </row>
    <row r="59" spans="24:25" x14ac:dyDescent="0.3">
      <c r="X59" s="20" t="s">
        <v>212</v>
      </c>
      <c r="Y59" s="20" t="s">
        <v>32</v>
      </c>
    </row>
    <row r="60" spans="24:25" x14ac:dyDescent="0.3">
      <c r="X60" s="20" t="s">
        <v>213</v>
      </c>
      <c r="Y60" s="20" t="s">
        <v>33</v>
      </c>
    </row>
    <row r="61" spans="24:25" x14ac:dyDescent="0.3">
      <c r="X61" s="20" t="s">
        <v>88</v>
      </c>
      <c r="Y61" s="20" t="s">
        <v>34</v>
      </c>
    </row>
    <row r="62" spans="24:25" x14ac:dyDescent="0.3">
      <c r="X62" s="20" t="s">
        <v>91</v>
      </c>
      <c r="Y62" s="20" t="s">
        <v>41</v>
      </c>
    </row>
    <row r="63" spans="24:25" x14ac:dyDescent="0.3">
      <c r="X63" s="20" t="s">
        <v>97</v>
      </c>
      <c r="Y63" s="20" t="s">
        <v>98</v>
      </c>
    </row>
    <row r="64" spans="24:25" x14ac:dyDescent="0.3">
      <c r="X64" s="20" t="s">
        <v>104</v>
      </c>
      <c r="Y64" s="20" t="s">
        <v>105</v>
      </c>
    </row>
    <row r="65" spans="24:25" x14ac:dyDescent="0.3">
      <c r="X65" s="20" t="s">
        <v>111</v>
      </c>
      <c r="Y65" s="20" t="s">
        <v>112</v>
      </c>
    </row>
    <row r="66" spans="24:25" x14ac:dyDescent="0.3">
      <c r="X66" s="20" t="s">
        <v>118</v>
      </c>
      <c r="Y66" s="20" t="s">
        <v>119</v>
      </c>
    </row>
    <row r="67" spans="24:25" x14ac:dyDescent="0.3">
      <c r="X67" s="20" t="s">
        <v>125</v>
      </c>
      <c r="Y67" s="20" t="s">
        <v>126</v>
      </c>
    </row>
    <row r="68" spans="24:25" x14ac:dyDescent="0.3">
      <c r="X68" s="20" t="s">
        <v>132</v>
      </c>
      <c r="Y68" s="20" t="s">
        <v>133</v>
      </c>
    </row>
    <row r="69" spans="24:25" x14ac:dyDescent="0.3">
      <c r="X69" s="20" t="s">
        <v>139</v>
      </c>
      <c r="Y69" s="20" t="s">
        <v>140</v>
      </c>
    </row>
    <row r="70" spans="24:25" x14ac:dyDescent="0.3">
      <c r="X70" s="20" t="s">
        <v>146</v>
      </c>
      <c r="Y70" s="20" t="s">
        <v>147</v>
      </c>
    </row>
    <row r="71" spans="24:25" x14ac:dyDescent="0.3">
      <c r="X71" s="20" t="s">
        <v>153</v>
      </c>
      <c r="Y71" s="20" t="s">
        <v>154</v>
      </c>
    </row>
    <row r="72" spans="24:25" x14ac:dyDescent="0.3">
      <c r="X72" s="20" t="s">
        <v>160</v>
      </c>
      <c r="Y72" s="20" t="s">
        <v>161</v>
      </c>
    </row>
    <row r="73" spans="24:25" x14ac:dyDescent="0.3">
      <c r="X73" s="20" t="s">
        <v>168</v>
      </c>
      <c r="Y73" s="20" t="s">
        <v>169</v>
      </c>
    </row>
    <row r="74" spans="24:25" x14ac:dyDescent="0.3">
      <c r="X74" s="20" t="s">
        <v>176</v>
      </c>
      <c r="Y74" s="20" t="s">
        <v>177</v>
      </c>
    </row>
    <row r="75" spans="24:25" x14ac:dyDescent="0.3">
      <c r="X75" s="20" t="s">
        <v>184</v>
      </c>
      <c r="Y75" s="20" t="s">
        <v>185</v>
      </c>
    </row>
    <row r="76" spans="24:25" x14ac:dyDescent="0.3">
      <c r="X76" s="20" t="s">
        <v>192</v>
      </c>
      <c r="Y76" s="20" t="s">
        <v>193</v>
      </c>
    </row>
    <row r="77" spans="24:25" x14ac:dyDescent="0.3">
      <c r="X77" s="20" t="s">
        <v>200</v>
      </c>
      <c r="Y77" s="20" t="s">
        <v>201</v>
      </c>
    </row>
    <row r="78" spans="24:25" x14ac:dyDescent="0.3">
      <c r="X78" s="20" t="s">
        <v>208</v>
      </c>
      <c r="Y78" s="20" t="s">
        <v>209</v>
      </c>
    </row>
    <row r="79" spans="24:25" x14ac:dyDescent="0.3">
      <c r="X79" s="2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Compile Subroutines for ABAQUS</vt:lpstr>
      <vt:lpstr>Compile plasticity</vt:lpstr>
      <vt:lpstr>State Variables</vt:lpstr>
      <vt:lpstr>Material Properties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..</dc:creator>
  <cp:lastModifiedBy>alexsta_dev</cp:lastModifiedBy>
  <cp:lastPrinted>2016-04-30T17:54:29Z</cp:lastPrinted>
  <dcterms:created xsi:type="dcterms:W3CDTF">2006-11-30T13:14:43Z</dcterms:created>
  <dcterms:modified xsi:type="dcterms:W3CDTF">2019-08-26T13:33:16Z</dcterms:modified>
</cp:coreProperties>
</file>